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Dev\AutoSheet\Excel\"/>
    </mc:Choice>
  </mc:AlternateContent>
  <xr:revisionPtr revIDLastSave="0" documentId="13_ncr:1_{AE28D013-EF0D-423E-A6D8-E2858F3F9CBC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Design" sheetId="3" r:id="rId1"/>
    <sheet name="PipeData" sheetId="1" r:id="rId2"/>
  </sheets>
  <functionGroups builtInGroupCount="19"/>
  <definedNames>
    <definedName name="Design">Design!$1:$1048576</definedName>
    <definedName name="Design_EndCenterline">Design!$BA:$BA</definedName>
    <definedName name="Design_EndCover">Design!$BE:$BE</definedName>
    <definedName name="Design_EndDrop">Design!$BB:$BB</definedName>
    <definedName name="Design_EndInv">Design!$BD:$BD</definedName>
    <definedName name="Design_EndObv">Design!$BC:$BC</definedName>
    <definedName name="Design_FromToId">Design!$E:$E</definedName>
    <definedName name="Design_StartCenterlin">Design!$AW:$AW</definedName>
    <definedName name="Design_StartCover">Design!$AZ:$AZ</definedName>
    <definedName name="Design_StartInv">Design!$AY:$AY</definedName>
    <definedName name="Design_StartObv">Design!$AX:$AX</definedName>
    <definedName name="PipeData">PipeData!$1:$1048576</definedName>
    <definedName name="PipeData_EndCenterline">PipeData!#REF!</definedName>
    <definedName name="PipeData_EndInv">PipeData!$I:$I</definedName>
    <definedName name="PipeData_EndObv">PipeData!#REF!</definedName>
    <definedName name="PipeData_EndObvDrop">PipeData!#REF!</definedName>
    <definedName name="PipeData_From">PipeData!$B:$B</definedName>
    <definedName name="PipeData_FromToId">PipeData!$D:$D</definedName>
    <definedName name="PipeData_Handle">PipeData!$A:$A</definedName>
    <definedName name="PipeData_InnerDiameter">PipeData!$G:$G</definedName>
    <definedName name="PipeData_Length">PipeData!$E:$E</definedName>
    <definedName name="PipeData_Slope">PipeData!$F:$F</definedName>
    <definedName name="PipeData_StartCenterline">PipeData!#REF!</definedName>
    <definedName name="PipeData_StartInv">PipeData!$H:$H</definedName>
    <definedName name="PipeData_StartObv">PipeData!#REF!</definedName>
    <definedName name="PipeData_To">PipeData!$C:$C</definedName>
    <definedName name="PipeData_UsCenterline">PipeData!#REF!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7" i="3" l="1"/>
  <c r="T7" i="3"/>
  <c r="U7" i="3"/>
  <c r="S6" i="3"/>
  <c r="V6" i="3" s="1"/>
  <c r="T6" i="3"/>
  <c r="U6" i="3"/>
  <c r="S5" i="3"/>
  <c r="T5" i="3"/>
  <c r="U5" i="3"/>
  <c r="D4" i="1"/>
  <c r="S4" i="3"/>
  <c r="V4" i="3" s="1"/>
  <c r="T4" i="3"/>
  <c r="U4" i="3"/>
  <c r="V7" i="3" l="1"/>
  <c r="V5" i="3"/>
  <c r="U3" i="3"/>
  <c r="T3" i="3"/>
  <c r="V3" i="3" s="1"/>
  <c r="W4" i="3" s="1"/>
  <c r="W5" i="3" s="1"/>
  <c r="S3" i="3"/>
  <c r="W7" i="3" l="1"/>
  <c r="W6" i="3"/>
  <c r="E3" i="3"/>
  <c r="H2" i="1" l="1"/>
  <c r="H3" i="1"/>
  <c r="I3" i="1"/>
  <c r="I2" i="1"/>
  <c r="H4" i="1"/>
  <c r="I4" i="1"/>
  <c r="D2" i="1"/>
  <c r="D3" i="1"/>
  <c r="AM4" i="3" l="1"/>
  <c r="AM3" i="3"/>
  <c r="AP3" i="3" s="1"/>
  <c r="AT3" i="3"/>
  <c r="AR3" i="3"/>
  <c r="AS3" i="3" l="1"/>
  <c r="AU3" i="3"/>
  <c r="AV3" i="3"/>
</calcChain>
</file>

<file path=xl/sharedStrings.xml><?xml version="1.0" encoding="utf-8"?>
<sst xmlns="http://schemas.openxmlformats.org/spreadsheetml/2006/main" count="74" uniqueCount="53">
  <si>
    <t>From</t>
  </si>
  <si>
    <t>To</t>
  </si>
  <si>
    <t>Length</t>
  </si>
  <si>
    <t>Slope</t>
  </si>
  <si>
    <t>InnerDiameter</t>
  </si>
  <si>
    <t>Handle</t>
  </si>
  <si>
    <t>StartInvert</t>
  </si>
  <si>
    <t>EndInvert</t>
  </si>
  <si>
    <t>Street</t>
  </si>
  <si>
    <t>1:2 Year Storm</t>
  </si>
  <si>
    <t>1:5 Year Storm</t>
  </si>
  <si>
    <t>1:10 Year Storm</t>
  </si>
  <si>
    <t>Total Areas</t>
  </si>
  <si>
    <t>1:2 Yr</t>
  </si>
  <si>
    <t>1:5 Yr</t>
  </si>
  <si>
    <t>1:10 Yr</t>
  </si>
  <si>
    <t>Maintenace Hole No.</t>
  </si>
  <si>
    <t>Inlet Time (min.)</t>
  </si>
  <si>
    <t>1:2 Year Peak Flow</t>
  </si>
  <si>
    <t>2.78AR</t>
  </si>
  <si>
    <t>Cum. 2.78AR</t>
  </si>
  <si>
    <t>1:2 Yr Intensity</t>
  </si>
  <si>
    <t>Peak Flow</t>
  </si>
  <si>
    <t>1:5 Year Peak Flow</t>
  </si>
  <si>
    <t>1:5 Yr Intensity</t>
  </si>
  <si>
    <t>1:10 Year Peak Flow</t>
  </si>
  <si>
    <t>1:10 Yr Intensity</t>
  </si>
  <si>
    <t>Total Peak Flow</t>
  </si>
  <si>
    <t>Pipe Data</t>
  </si>
  <si>
    <t>Dia</t>
  </si>
  <si>
    <t>Height</t>
  </si>
  <si>
    <t>Width</t>
  </si>
  <si>
    <t>Actual Diameter</t>
  </si>
  <si>
    <t>V Full</t>
  </si>
  <si>
    <t>Residual Capacity</t>
  </si>
  <si>
    <t>% Full</t>
  </si>
  <si>
    <t>Upstream Geometry</t>
  </si>
  <si>
    <t>Downstream Geometry</t>
  </si>
  <si>
    <t>Centerline</t>
  </si>
  <si>
    <t>Obvert</t>
  </si>
  <si>
    <t>Invert</t>
  </si>
  <si>
    <t>Cover</t>
  </si>
  <si>
    <t>Drop</t>
  </si>
  <si>
    <t>Eramosa</t>
  </si>
  <si>
    <t>FromToId</t>
  </si>
  <si>
    <t>value</t>
  </si>
  <si>
    <t>Q Full
(L/s)</t>
  </si>
  <si>
    <t>Cum. Total Area
(ha)</t>
  </si>
  <si>
    <t>Total Area
(ha)</t>
  </si>
  <si>
    <t>In Pipe Flow Time
(min)</t>
  </si>
  <si>
    <t>Ex.510</t>
  </si>
  <si>
    <t>Paine</t>
  </si>
  <si>
    <t>Ex.509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</si>
</sst>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49998474074526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1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0" fontId="3" fillId="0" borderId="10" xfId="0" applyNumberFormat="1" applyFont="1" applyBorder="1" applyAlignment="1">
      <alignment horizontal="center" vertical="center"/>
    </xf>
    <xf numFmtId="2" fontId="3" fillId="0" borderId="10" xfId="0" applyNumberFormat="1" applyFont="1" applyBorder="1" applyAlignment="1">
      <alignment horizontal="center" vertical="center"/>
    </xf>
    <xf numFmtId="9" fontId="3" fillId="0" borderId="11" xfId="1" applyFont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2" fontId="3" fillId="0" borderId="9" xfId="0" applyNumberFormat="1" applyFont="1" applyBorder="1" applyAlignment="1">
      <alignment horizontal="center" vertical="center"/>
    </xf>
    <xf numFmtId="2" fontId="3" fillId="0" borderId="11" xfId="0" applyNumberFormat="1" applyFont="1" applyBorder="1" applyAlignment="1">
      <alignment horizontal="center" vertical="center"/>
    </xf>
    <xf numFmtId="2" fontId="3" fillId="0" borderId="13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5A26-B4BE-4805-866F-7CD05B06D4A2}">
  <sheetPr codeName="Sheet1"/>
  <dimension ref="A1:BE8"/>
  <sheetViews>
    <sheetView showGridLines="0" tabSelected="1" topLeftCell="G1" workbookViewId="0">
      <selection activeCell="W4" sqref="W4"/>
    </sheetView>
  </sheetViews>
  <sheetFormatPr defaultColWidth="9.109375" defaultRowHeight="13.8" outlineLevelCol="1" x14ac:dyDescent="0.3"/>
  <cols>
    <col min="1" max="4" width="9.109375" style="2" hidden="1" customWidth="1" outlineLevel="1"/>
    <col min="5" max="5" width="9.109375" style="1" hidden="1" customWidth="1" outlineLevel="1"/>
    <col min="6" max="6" width="2.6640625" style="2" hidden="1" customWidth="1" outlineLevel="1"/>
    <col min="7" max="7" width="23.44140625" style="2" customWidth="1" collapsed="1"/>
    <col min="8" max="8" width="9.33203125" style="4" customWidth="1"/>
    <col min="9" max="9" width="13.5546875" style="4" customWidth="1"/>
    <col min="10" max="21" width="9.109375" style="2" customWidth="1" outlineLevel="1"/>
    <col min="22" max="25" width="12.77734375" style="2" customWidth="1" outlineLevel="1"/>
    <col min="26" max="27" width="9.109375" style="2" customWidth="1" outlineLevel="1"/>
    <col min="28" max="28" width="10.6640625" style="2" customWidth="1" outlineLevel="1"/>
    <col min="29" max="37" width="9.109375" style="2" customWidth="1" outlineLevel="1"/>
    <col min="38" max="38" width="11.88671875" style="2" customWidth="1" outlineLevel="1"/>
    <col min="39" max="43" width="9.109375" style="4"/>
    <col min="44" max="44" width="9.5546875" style="4" bestFit="1" customWidth="1"/>
    <col min="45" max="46" width="9.109375" style="4"/>
    <col min="47" max="47" width="11.21875" style="4" customWidth="1"/>
    <col min="48" max="48" width="9.109375" style="4"/>
    <col min="49" max="49" width="12.88671875" style="4" customWidth="1"/>
    <col min="50" max="52" width="9.109375" style="4"/>
    <col min="53" max="53" width="13.6640625" style="4" customWidth="1"/>
    <col min="54" max="57" width="9.109375" style="4"/>
    <col min="58" max="16384" width="9.109375" style="2"/>
  </cols>
  <sheetData>
    <row r="1" spans="5:57" x14ac:dyDescent="0.3">
      <c r="G1" s="17"/>
      <c r="H1" s="13" t="s">
        <v>16</v>
      </c>
      <c r="I1" s="14"/>
      <c r="J1" s="12" t="s">
        <v>9</v>
      </c>
      <c r="K1" s="13"/>
      <c r="L1" s="14"/>
      <c r="M1" s="12" t="s">
        <v>10</v>
      </c>
      <c r="N1" s="13"/>
      <c r="O1" s="14"/>
      <c r="P1" s="12" t="s">
        <v>11</v>
      </c>
      <c r="Q1" s="13"/>
      <c r="R1" s="14"/>
      <c r="S1" s="12" t="s">
        <v>12</v>
      </c>
      <c r="T1" s="13"/>
      <c r="U1" s="14"/>
      <c r="V1" s="18" t="s">
        <v>48</v>
      </c>
      <c r="W1" s="19" t="s">
        <v>47</v>
      </c>
      <c r="X1" s="19" t="s">
        <v>17</v>
      </c>
      <c r="Y1" s="20" t="s">
        <v>49</v>
      </c>
      <c r="Z1" s="12" t="s">
        <v>18</v>
      </c>
      <c r="AA1" s="13"/>
      <c r="AB1" s="13"/>
      <c r="AC1" s="14"/>
      <c r="AD1" s="12" t="s">
        <v>23</v>
      </c>
      <c r="AE1" s="13"/>
      <c r="AF1" s="13"/>
      <c r="AG1" s="14"/>
      <c r="AH1" s="12" t="s">
        <v>25</v>
      </c>
      <c r="AI1" s="13"/>
      <c r="AJ1" s="13"/>
      <c r="AK1" s="14"/>
      <c r="AL1" s="24" t="s">
        <v>27</v>
      </c>
      <c r="AM1" s="12" t="s">
        <v>28</v>
      </c>
      <c r="AN1" s="13"/>
      <c r="AO1" s="13"/>
      <c r="AP1" s="13"/>
      <c r="AQ1" s="13"/>
      <c r="AR1" s="13"/>
      <c r="AS1" s="13"/>
      <c r="AT1" s="13"/>
      <c r="AU1" s="13"/>
      <c r="AV1" s="14"/>
      <c r="AW1" s="12" t="s">
        <v>36</v>
      </c>
      <c r="AX1" s="13"/>
      <c r="AY1" s="13"/>
      <c r="AZ1" s="14"/>
      <c r="BA1" s="12" t="s">
        <v>37</v>
      </c>
      <c r="BB1" s="13"/>
      <c r="BC1" s="13"/>
      <c r="BD1" s="13"/>
      <c r="BE1" s="14"/>
    </row>
    <row r="2" spans="5:57" s="4" customFormat="1" ht="32.25" customHeight="1" x14ac:dyDescent="0.3">
      <c r="E2" s="3" t="s">
        <v>44</v>
      </c>
      <c r="G2" s="15" t="s">
        <v>8</v>
      </c>
      <c r="H2" s="10" t="s">
        <v>0</v>
      </c>
      <c r="I2" s="16" t="s">
        <v>1</v>
      </c>
      <c r="J2" s="15">
        <v>0.56999999999999995</v>
      </c>
      <c r="K2" s="10">
        <v>0.57999999999999996</v>
      </c>
      <c r="L2" s="16">
        <v>0.65</v>
      </c>
      <c r="M2" s="15">
        <v>0.56999999999999995</v>
      </c>
      <c r="N2" s="10">
        <v>0.57999999999999996</v>
      </c>
      <c r="O2" s="16">
        <v>0.65</v>
      </c>
      <c r="P2" s="15">
        <v>0.56999999999999995</v>
      </c>
      <c r="Q2" s="10">
        <v>0.57999999999999996</v>
      </c>
      <c r="R2" s="16">
        <v>0.67</v>
      </c>
      <c r="S2" s="15" t="s">
        <v>13</v>
      </c>
      <c r="T2" s="10" t="s">
        <v>14</v>
      </c>
      <c r="U2" s="16" t="s">
        <v>15</v>
      </c>
      <c r="V2" s="21"/>
      <c r="W2" s="9"/>
      <c r="X2" s="9"/>
      <c r="Y2" s="22"/>
      <c r="Z2" s="15" t="s">
        <v>19</v>
      </c>
      <c r="AA2" s="11" t="s">
        <v>20</v>
      </c>
      <c r="AB2" s="11" t="s">
        <v>21</v>
      </c>
      <c r="AC2" s="23" t="s">
        <v>22</v>
      </c>
      <c r="AD2" s="15" t="s">
        <v>19</v>
      </c>
      <c r="AE2" s="11" t="s">
        <v>20</v>
      </c>
      <c r="AF2" s="11" t="s">
        <v>24</v>
      </c>
      <c r="AG2" s="23" t="s">
        <v>22</v>
      </c>
      <c r="AH2" s="15" t="s">
        <v>19</v>
      </c>
      <c r="AI2" s="11" t="s">
        <v>20</v>
      </c>
      <c r="AJ2" s="11" t="s">
        <v>26</v>
      </c>
      <c r="AK2" s="23" t="s">
        <v>22</v>
      </c>
      <c r="AL2" s="25"/>
      <c r="AM2" s="15" t="s">
        <v>29</v>
      </c>
      <c r="AN2" s="10" t="s">
        <v>30</v>
      </c>
      <c r="AO2" s="10" t="s">
        <v>31</v>
      </c>
      <c r="AP2" s="11" t="s">
        <v>32</v>
      </c>
      <c r="AQ2" s="10" t="s">
        <v>3</v>
      </c>
      <c r="AR2" s="11" t="s">
        <v>46</v>
      </c>
      <c r="AS2" s="10" t="s">
        <v>33</v>
      </c>
      <c r="AT2" s="10" t="s">
        <v>2</v>
      </c>
      <c r="AU2" s="11" t="s">
        <v>34</v>
      </c>
      <c r="AV2" s="16" t="s">
        <v>35</v>
      </c>
      <c r="AW2" s="15" t="s">
        <v>38</v>
      </c>
      <c r="AX2" s="10" t="s">
        <v>39</v>
      </c>
      <c r="AY2" s="10" t="s">
        <v>40</v>
      </c>
      <c r="AZ2" s="16" t="s">
        <v>41</v>
      </c>
      <c r="BA2" s="15" t="s">
        <v>38</v>
      </c>
      <c r="BB2" s="10" t="s">
        <v>42</v>
      </c>
      <c r="BC2" s="10" t="s">
        <v>39</v>
      </c>
      <c r="BD2" s="10" t="s">
        <v>40</v>
      </c>
      <c r="BE2" s="16" t="s">
        <v>41</v>
      </c>
    </row>
    <row r="3" spans="5:57" x14ac:dyDescent="0.3">
      <c r="E3" s="3" t="str">
        <f>_xlfn.CONCAT(H3,"-",I3)</f>
        <v>191-192</v>
      </c>
      <c r="G3" s="26" t="s">
        <v>43</v>
      </c>
      <c r="H3" s="27">
        <v>191</v>
      </c>
      <c r="I3" s="28">
        <v>192</v>
      </c>
      <c r="J3" s="44"/>
      <c r="K3" s="31">
        <v>0.25</v>
      </c>
      <c r="L3" s="45"/>
      <c r="M3" s="44"/>
      <c r="N3" s="31"/>
      <c r="O3" s="45"/>
      <c r="P3" s="44"/>
      <c r="Q3" s="31"/>
      <c r="R3" s="45"/>
      <c r="S3" s="44">
        <f>SUM(J3:L3)</f>
        <v>0.25</v>
      </c>
      <c r="T3" s="31">
        <f>SUM(M3:O3)</f>
        <v>0</v>
      </c>
      <c r="U3" s="45">
        <f>SUM(P3:R3)</f>
        <v>0</v>
      </c>
      <c r="V3" s="29">
        <f>SUM(S3:U3)</f>
        <v>0.25</v>
      </c>
      <c r="W3" s="27"/>
      <c r="X3" s="27">
        <v>10</v>
      </c>
      <c r="Y3" s="28"/>
      <c r="Z3" s="29"/>
      <c r="AA3" s="27"/>
      <c r="AB3" s="27"/>
      <c r="AC3" s="28"/>
      <c r="AD3" s="29"/>
      <c r="AE3" s="27"/>
      <c r="AF3" s="27"/>
      <c r="AG3" s="28"/>
      <c r="AH3" s="29"/>
      <c r="AI3" s="27"/>
      <c r="AJ3" s="27"/>
      <c r="AK3" s="28"/>
      <c r="AL3" s="41"/>
      <c r="AM3" s="29">
        <f>INDEX(PipeData,MATCH($E3,PipeData_FromToId,0),COLUMN(PipeData_InnerDiameter))</f>
        <v>600</v>
      </c>
      <c r="AN3" s="27"/>
      <c r="AO3" s="27"/>
      <c r="AP3" s="27">
        <f>AM3/25*25.4</f>
        <v>609.59999999999991</v>
      </c>
      <c r="AQ3" s="30">
        <v>3.5000000000000001E-3</v>
      </c>
      <c r="AR3" s="31">
        <f>ManningCircular(AP3/1000,AQ3,0.013)</f>
        <v>378.96035559130939</v>
      </c>
      <c r="AS3" s="27">
        <f>AR3/((AM3/2000)^2*PI())/1000</f>
        <v>1.3402980850715391</v>
      </c>
      <c r="AT3" s="27">
        <f>INDEX(PipeData,MATCH($E3,PipeData_FromToId,0),COLUMN(PipeData_Length))</f>
        <v>100</v>
      </c>
      <c r="AU3" s="31">
        <f>AR3-AL3</f>
        <v>378.96035559130939</v>
      </c>
      <c r="AV3" s="32">
        <f>AL3/AR3</f>
        <v>0</v>
      </c>
      <c r="AW3" s="29"/>
      <c r="AX3" s="27"/>
      <c r="AY3" s="27"/>
      <c r="AZ3" s="28"/>
      <c r="BA3" s="29"/>
      <c r="BB3" s="27"/>
      <c r="BC3" s="27"/>
      <c r="BD3" s="27"/>
      <c r="BE3" s="28"/>
    </row>
    <row r="4" spans="5:57" x14ac:dyDescent="0.3">
      <c r="G4" s="33" t="s">
        <v>43</v>
      </c>
      <c r="H4" s="34">
        <v>192</v>
      </c>
      <c r="I4" s="35">
        <v>193</v>
      </c>
      <c r="J4" s="46">
        <v>0.3</v>
      </c>
      <c r="K4" s="47"/>
      <c r="L4" s="48"/>
      <c r="M4" s="46"/>
      <c r="N4" s="47"/>
      <c r="O4" s="48"/>
      <c r="P4" s="46"/>
      <c r="Q4" s="47"/>
      <c r="R4" s="48"/>
      <c r="S4" s="46">
        <f>SUM(J4:L4)</f>
        <v>0.3</v>
      </c>
      <c r="T4" s="47">
        <f>SUM(M4:O4)</f>
        <v>0</v>
      </c>
      <c r="U4" s="48">
        <f>SUM(P4:R4)</f>
        <v>0</v>
      </c>
      <c r="V4" s="36">
        <f>SUM(S4:U4)</f>
        <v>0.3</v>
      </c>
      <c r="W4" s="34">
        <f>SUMIF(I$3:I3,H4,V$3:V3)+V4</f>
        <v>0.55000000000000004</v>
      </c>
      <c r="X4" s="34"/>
      <c r="Y4" s="35"/>
      <c r="Z4" s="36"/>
      <c r="AA4" s="34"/>
      <c r="AB4" s="34"/>
      <c r="AC4" s="35"/>
      <c r="AD4" s="36"/>
      <c r="AE4" s="34"/>
      <c r="AF4" s="34"/>
      <c r="AG4" s="35"/>
      <c r="AH4" s="36"/>
      <c r="AI4" s="34"/>
      <c r="AJ4" s="34"/>
      <c r="AK4" s="35"/>
      <c r="AL4" s="42"/>
      <c r="AM4" s="36" t="e">
        <f>INDEX(PipeData,MATCH($E4,PipeData_FromToId,0),COLUMN(PipeData_InnerDiameter))</f>
        <v>#N/A</v>
      </c>
      <c r="AN4" s="34"/>
      <c r="AO4" s="34"/>
      <c r="AP4" s="34"/>
      <c r="AQ4" s="34"/>
      <c r="AR4" s="34"/>
      <c r="AS4" s="34"/>
      <c r="AT4" s="34"/>
      <c r="AU4" s="34"/>
      <c r="AV4" s="35"/>
      <c r="AW4" s="36"/>
      <c r="AX4" s="34"/>
      <c r="AY4" s="34"/>
      <c r="AZ4" s="35"/>
      <c r="BA4" s="36"/>
      <c r="BB4" s="34"/>
      <c r="BC4" s="34"/>
      <c r="BD4" s="34"/>
      <c r="BE4" s="35"/>
    </row>
    <row r="5" spans="5:57" x14ac:dyDescent="0.3">
      <c r="G5" s="33" t="s">
        <v>43</v>
      </c>
      <c r="H5" s="34">
        <v>193</v>
      </c>
      <c r="I5" s="35">
        <v>194</v>
      </c>
      <c r="J5" s="46">
        <v>0.14000000000000001</v>
      </c>
      <c r="K5" s="47"/>
      <c r="L5" s="48"/>
      <c r="M5" s="46"/>
      <c r="N5" s="47"/>
      <c r="O5" s="48"/>
      <c r="P5" s="46"/>
      <c r="Q5" s="47"/>
      <c r="R5" s="48"/>
      <c r="S5" s="46">
        <f>SUM(J5:L5)</f>
        <v>0.14000000000000001</v>
      </c>
      <c r="T5" s="47">
        <f>SUM(M5:O5)</f>
        <v>0</v>
      </c>
      <c r="U5" s="48">
        <f>SUM(P5:R5)</f>
        <v>0</v>
      </c>
      <c r="V5" s="36">
        <f>SUM(S5:U5)</f>
        <v>0.14000000000000001</v>
      </c>
      <c r="W5" s="34">
        <f>SUMIF(I$3:I4,H5,V$3:V4)+V5+W4</f>
        <v>0.99</v>
      </c>
      <c r="X5" s="34"/>
      <c r="Y5" s="35"/>
      <c r="Z5" s="36"/>
      <c r="AA5" s="34"/>
      <c r="AB5" s="34"/>
      <c r="AC5" s="35"/>
      <c r="AD5" s="36"/>
      <c r="AE5" s="34"/>
      <c r="AF5" s="34"/>
      <c r="AG5" s="35"/>
      <c r="AH5" s="36"/>
      <c r="AI5" s="34"/>
      <c r="AJ5" s="34"/>
      <c r="AK5" s="35"/>
      <c r="AL5" s="42"/>
      <c r="AM5" s="36"/>
      <c r="AN5" s="34"/>
      <c r="AO5" s="34"/>
      <c r="AP5" s="34"/>
      <c r="AQ5" s="34"/>
      <c r="AR5" s="34"/>
      <c r="AS5" s="34"/>
      <c r="AT5" s="34"/>
      <c r="AU5" s="34"/>
      <c r="AV5" s="35"/>
      <c r="AW5" s="36"/>
      <c r="AX5" s="34"/>
      <c r="AY5" s="34"/>
      <c r="AZ5" s="35"/>
      <c r="BA5" s="36"/>
      <c r="BB5" s="34"/>
      <c r="BC5" s="34"/>
      <c r="BD5" s="34"/>
      <c r="BE5" s="35"/>
    </row>
    <row r="6" spans="5:57" x14ac:dyDescent="0.3">
      <c r="G6" s="33" t="s">
        <v>43</v>
      </c>
      <c r="H6" s="34">
        <v>194</v>
      </c>
      <c r="I6" s="35" t="s">
        <v>50</v>
      </c>
      <c r="J6" s="46">
        <v>0.3</v>
      </c>
      <c r="K6" s="47"/>
      <c r="L6" s="48"/>
      <c r="M6" s="46"/>
      <c r="N6" s="47"/>
      <c r="O6" s="48"/>
      <c r="P6" s="46"/>
      <c r="Q6" s="47"/>
      <c r="R6" s="48"/>
      <c r="S6" s="46">
        <f>SUM(J6:L6)</f>
        <v>0.3</v>
      </c>
      <c r="T6" s="47">
        <f>SUM(M6:O6)</f>
        <v>0</v>
      </c>
      <c r="U6" s="48">
        <f>SUM(P6:R6)</f>
        <v>0</v>
      </c>
      <c r="V6" s="36">
        <f>SUM(S6:U6)</f>
        <v>0.3</v>
      </c>
      <c r="W6" s="34">
        <f>SUMIF(I$3:I5,H6,V$3:V5)+V6+W5</f>
        <v>1.43</v>
      </c>
      <c r="X6" s="34"/>
      <c r="Y6" s="35"/>
      <c r="Z6" s="36"/>
      <c r="AA6" s="34"/>
      <c r="AB6" s="34"/>
      <c r="AC6" s="35"/>
      <c r="AD6" s="36"/>
      <c r="AE6" s="34"/>
      <c r="AF6" s="34"/>
      <c r="AG6" s="35"/>
      <c r="AH6" s="36"/>
      <c r="AI6" s="34"/>
      <c r="AJ6" s="34"/>
      <c r="AK6" s="35"/>
      <c r="AL6" s="42"/>
      <c r="AM6" s="36"/>
      <c r="AN6" s="34"/>
      <c r="AO6" s="34"/>
      <c r="AP6" s="34"/>
      <c r="AQ6" s="34"/>
      <c r="AR6" s="34"/>
      <c r="AS6" s="34"/>
      <c r="AT6" s="34"/>
      <c r="AU6" s="34"/>
      <c r="AV6" s="35"/>
      <c r="AW6" s="36"/>
      <c r="AX6" s="34"/>
      <c r="AY6" s="34"/>
      <c r="AZ6" s="35"/>
      <c r="BA6" s="36"/>
      <c r="BB6" s="34"/>
      <c r="BC6" s="34"/>
      <c r="BD6" s="34"/>
      <c r="BE6" s="35"/>
    </row>
    <row r="7" spans="5:57" x14ac:dyDescent="0.3">
      <c r="G7" s="33" t="s">
        <v>51</v>
      </c>
      <c r="H7" s="34" t="s">
        <v>52</v>
      </c>
      <c r="I7" s="35" t="s">
        <v>50</v>
      </c>
      <c r="J7" s="46"/>
      <c r="K7" s="47"/>
      <c r="L7" s="48">
        <v>0.2</v>
      </c>
      <c r="M7" s="46"/>
      <c r="N7" s="47"/>
      <c r="O7" s="48"/>
      <c r="P7" s="46"/>
      <c r="Q7" s="47"/>
      <c r="R7" s="48"/>
      <c r="S7" s="46">
        <f>SUM(J7:L7)</f>
        <v>0.2</v>
      </c>
      <c r="T7" s="47">
        <f>SUM(M7:O7)</f>
        <v>0</v>
      </c>
      <c r="U7" s="48">
        <f>SUM(P7:R7)</f>
        <v>0</v>
      </c>
      <c r="V7" s="36">
        <f>SUM(S7:U7)</f>
        <v>0.2</v>
      </c>
      <c r="W7" s="34">
        <f>SUMIF(I$3:I6,H7,V$3:V6)+V7+W6</f>
        <v>1.63</v>
      </c>
      <c r="X7" s="34"/>
      <c r="Y7" s="35"/>
      <c r="Z7" s="36"/>
      <c r="AA7" s="34"/>
      <c r="AB7" s="34"/>
      <c r="AC7" s="35"/>
      <c r="AD7" s="36"/>
      <c r="AE7" s="34"/>
      <c r="AF7" s="34"/>
      <c r="AG7" s="35"/>
      <c r="AH7" s="36"/>
      <c r="AI7" s="34"/>
      <c r="AJ7" s="34"/>
      <c r="AK7" s="35"/>
      <c r="AL7" s="42"/>
      <c r="AM7" s="36"/>
      <c r="AN7" s="34"/>
      <c r="AO7" s="34"/>
      <c r="AP7" s="34"/>
      <c r="AQ7" s="34"/>
      <c r="AR7" s="34"/>
      <c r="AS7" s="34"/>
      <c r="AT7" s="34"/>
      <c r="AU7" s="34"/>
      <c r="AV7" s="35"/>
      <c r="AW7" s="36"/>
      <c r="AX7" s="34"/>
      <c r="AY7" s="34"/>
      <c r="AZ7" s="35"/>
      <c r="BA7" s="36"/>
      <c r="BB7" s="34"/>
      <c r="BC7" s="34"/>
      <c r="BD7" s="34"/>
      <c r="BE7" s="35"/>
    </row>
    <row r="8" spans="5:57" ht="14.4" thickBot="1" x14ac:dyDescent="0.35">
      <c r="G8" s="37"/>
      <c r="H8" s="38"/>
      <c r="I8" s="39"/>
      <c r="J8" s="49"/>
      <c r="K8" s="50"/>
      <c r="L8" s="51"/>
      <c r="M8" s="49"/>
      <c r="N8" s="50"/>
      <c r="O8" s="51"/>
      <c r="P8" s="49"/>
      <c r="Q8" s="50"/>
      <c r="R8" s="51"/>
      <c r="S8" s="49"/>
      <c r="T8" s="50"/>
      <c r="U8" s="51"/>
      <c r="V8" s="40"/>
      <c r="W8" s="38"/>
      <c r="X8" s="38"/>
      <c r="Y8" s="39"/>
      <c r="Z8" s="40"/>
      <c r="AA8" s="38"/>
      <c r="AB8" s="38"/>
      <c r="AC8" s="39"/>
      <c r="AD8" s="40"/>
      <c r="AE8" s="38"/>
      <c r="AF8" s="38"/>
      <c r="AG8" s="39"/>
      <c r="AH8" s="40"/>
      <c r="AI8" s="38"/>
      <c r="AJ8" s="38"/>
      <c r="AK8" s="39"/>
      <c r="AL8" s="43"/>
      <c r="AM8" s="40"/>
      <c r="AN8" s="38"/>
      <c r="AO8" s="38"/>
      <c r="AP8" s="38"/>
      <c r="AQ8" s="38"/>
      <c r="AR8" s="38"/>
      <c r="AS8" s="38"/>
      <c r="AT8" s="38"/>
      <c r="AU8" s="38"/>
      <c r="AV8" s="39"/>
      <c r="AW8" s="40"/>
      <c r="AX8" s="38"/>
      <c r="AY8" s="38"/>
      <c r="AZ8" s="39"/>
      <c r="BA8" s="40"/>
      <c r="BB8" s="38"/>
      <c r="BC8" s="38"/>
      <c r="BD8" s="38"/>
      <c r="BE8" s="39"/>
    </row>
  </sheetData>
  <mergeCells count="16">
    <mergeCell ref="H1:I1"/>
    <mergeCell ref="X1:X2"/>
    <mergeCell ref="Y1:Y2"/>
    <mergeCell ref="Z1:AC1"/>
    <mergeCell ref="J1:L1"/>
    <mergeCell ref="M1:O1"/>
    <mergeCell ref="P1:R1"/>
    <mergeCell ref="S1:U1"/>
    <mergeCell ref="V1:V2"/>
    <mergeCell ref="W1:W2"/>
    <mergeCell ref="AW1:AZ1"/>
    <mergeCell ref="BA1:BE1"/>
    <mergeCell ref="AD1:AG1"/>
    <mergeCell ref="AH1:AK1"/>
    <mergeCell ref="AL1:AL2"/>
    <mergeCell ref="AM1:AV1"/>
  </mergeCells>
  <conditionalFormatting sqref="G3:BE8">
    <cfRule type="expression" dxfId="0" priority="1">
      <formula>IF(MOD(ROW(),2)=0,1,0)</formula>
    </cfRule>
  </conditionalFormatting>
  <pageMargins left="0.7" right="0.7" top="0.75" bottom="0.75" header="0.3" footer="0.3"/>
  <pageSetup orientation="portrait" horizontalDpi="1200" verticalDpi="1200" r:id="rId1"/>
  <ignoredErrors>
    <ignoredError sqref="S3:S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35"/>
  <sheetViews>
    <sheetView workbookViewId="0">
      <selection activeCell="C5" sqref="C5"/>
    </sheetView>
  </sheetViews>
  <sheetFormatPr defaultColWidth="14.88671875" defaultRowHeight="13.8" x14ac:dyDescent="0.25"/>
  <cols>
    <col min="1" max="16384" width="14.88671875" style="6"/>
  </cols>
  <sheetData>
    <row r="1" spans="1:9" s="5" customFormat="1" x14ac:dyDescent="0.25">
      <c r="A1" s="5" t="s">
        <v>5</v>
      </c>
      <c r="B1" s="5" t="s">
        <v>0</v>
      </c>
      <c r="C1" s="5" t="s">
        <v>1</v>
      </c>
      <c r="D1" s="5" t="s">
        <v>44</v>
      </c>
      <c r="E1" s="5" t="s">
        <v>2</v>
      </c>
      <c r="F1" s="5" t="s">
        <v>3</v>
      </c>
      <c r="G1" s="5" t="s">
        <v>4</v>
      </c>
      <c r="H1" s="5" t="s">
        <v>6</v>
      </c>
      <c r="I1" s="5" t="s">
        <v>7</v>
      </c>
    </row>
    <row r="2" spans="1:9" x14ac:dyDescent="0.25">
      <c r="A2" s="6" t="s">
        <v>45</v>
      </c>
      <c r="B2" s="6">
        <v>191</v>
      </c>
      <c r="C2" s="6">
        <v>192</v>
      </c>
      <c r="D2" s="6" t="str">
        <f>_xlfn.CONCAT(B2,"-",C2)</f>
        <v>191-192</v>
      </c>
      <c r="E2" s="6">
        <v>100</v>
      </c>
      <c r="F2" s="7">
        <v>3.5000000000000001E-3</v>
      </c>
      <c r="G2" s="6">
        <v>600</v>
      </c>
      <c r="H2" s="8">
        <f>INDEX(Design, MATCH(D2,Design_FromToId,0),COLUMN(Design_StartInv))</f>
        <v>0</v>
      </c>
      <c r="I2" s="8">
        <f>INDEX(Design, MATCH(D2,Design_FromToId,0),COLUMN(Design_EndInv))</f>
        <v>0</v>
      </c>
    </row>
    <row r="3" spans="1:9" x14ac:dyDescent="0.25">
      <c r="A3" s="6" t="s">
        <v>45</v>
      </c>
      <c r="B3" s="6">
        <v>192</v>
      </c>
      <c r="C3" s="6">
        <v>193</v>
      </c>
      <c r="D3" s="6" t="str">
        <f t="shared" ref="D3" si="0">_xlfn.CONCAT(B3,"-",C3)</f>
        <v>192-193</v>
      </c>
      <c r="E3" s="6">
        <v>100</v>
      </c>
      <c r="F3" s="7">
        <v>3.5000000000000001E-3</v>
      </c>
      <c r="G3" s="6">
        <v>600</v>
      </c>
      <c r="H3" s="8" t="e">
        <f>INDEX(Design, MATCH(D3,Design_FromToId,0),COLUMN(Design_StartInv))</f>
        <v>#N/A</v>
      </c>
      <c r="I3" s="8" t="e">
        <f>INDEX(Design, MATCH(D3,Design_FromToId,0),COLUMN(Design_EndInv))</f>
        <v>#N/A</v>
      </c>
    </row>
    <row r="4" spans="1:9" x14ac:dyDescent="0.25">
      <c r="A4" s="6" t="s">
        <v>45</v>
      </c>
      <c r="B4" s="6">
        <v>192</v>
      </c>
      <c r="C4" s="6">
        <v>194</v>
      </c>
      <c r="D4" s="6" t="str">
        <f t="shared" ref="D4" si="1">_xlfn.CONCAT(B4,"-",C4)</f>
        <v>192-194</v>
      </c>
      <c r="E4" s="6">
        <v>100</v>
      </c>
      <c r="F4" s="7">
        <v>3.5000000000000001E-3</v>
      </c>
      <c r="G4" s="6">
        <v>600</v>
      </c>
      <c r="H4" s="8" t="e">
        <f>INDEX(Design, MATCH(D4,Design_FromToId,0),COLUMN(Design_StartInv))</f>
        <v>#N/A</v>
      </c>
      <c r="I4" s="8" t="e">
        <f>INDEX(Design, MATCH(D4,Design_FromToId,0),COLUMN(Design_EndInv))</f>
        <v>#N/A</v>
      </c>
    </row>
    <row r="5" spans="1:9" x14ac:dyDescent="0.25">
      <c r="F5" s="7"/>
      <c r="H5" s="8"/>
      <c r="I5" s="8"/>
    </row>
    <row r="6" spans="1:9" x14ac:dyDescent="0.25">
      <c r="F6" s="7"/>
      <c r="H6" s="8"/>
      <c r="I6" s="8"/>
    </row>
    <row r="7" spans="1:9" x14ac:dyDescent="0.25">
      <c r="F7" s="7"/>
      <c r="H7" s="8"/>
      <c r="I7" s="8"/>
    </row>
    <row r="8" spans="1:9" x14ac:dyDescent="0.25">
      <c r="F8" s="7"/>
      <c r="H8" s="8"/>
      <c r="I8" s="8"/>
    </row>
    <row r="9" spans="1:9" x14ac:dyDescent="0.25">
      <c r="F9" s="7"/>
      <c r="H9" s="8"/>
      <c r="I9" s="8"/>
    </row>
    <row r="10" spans="1:9" x14ac:dyDescent="0.25">
      <c r="F10" s="7"/>
      <c r="H10" s="8"/>
      <c r="I10" s="8"/>
    </row>
    <row r="11" spans="1:9" x14ac:dyDescent="0.25">
      <c r="F11" s="7"/>
      <c r="H11" s="8"/>
      <c r="I11" s="8"/>
    </row>
    <row r="12" spans="1:9" x14ac:dyDescent="0.25">
      <c r="H12" s="8"/>
      <c r="I12" s="8"/>
    </row>
    <row r="13" spans="1:9" x14ac:dyDescent="0.25">
      <c r="H13" s="8"/>
      <c r="I13" s="8"/>
    </row>
    <row r="14" spans="1:9" x14ac:dyDescent="0.25">
      <c r="H14" s="8"/>
      <c r="I14" s="8"/>
    </row>
    <row r="15" spans="1:9" x14ac:dyDescent="0.25">
      <c r="H15" s="8"/>
      <c r="I15" s="8"/>
    </row>
    <row r="16" spans="1:9" x14ac:dyDescent="0.25">
      <c r="H16" s="8"/>
      <c r="I16" s="8"/>
    </row>
    <row r="17" spans="8:9" x14ac:dyDescent="0.25">
      <c r="H17" s="8"/>
      <c r="I17" s="8"/>
    </row>
    <row r="18" spans="8:9" x14ac:dyDescent="0.25">
      <c r="H18" s="8"/>
      <c r="I18" s="8"/>
    </row>
    <row r="19" spans="8:9" x14ac:dyDescent="0.25">
      <c r="H19" s="8"/>
      <c r="I19" s="8"/>
    </row>
    <row r="20" spans="8:9" x14ac:dyDescent="0.25">
      <c r="H20" s="8"/>
      <c r="I20" s="8"/>
    </row>
    <row r="21" spans="8:9" x14ac:dyDescent="0.25">
      <c r="H21" s="8"/>
      <c r="I21" s="8"/>
    </row>
    <row r="22" spans="8:9" x14ac:dyDescent="0.25">
      <c r="H22" s="8"/>
      <c r="I22" s="8"/>
    </row>
    <row r="23" spans="8:9" x14ac:dyDescent="0.25">
      <c r="H23" s="8"/>
      <c r="I23" s="8"/>
    </row>
    <row r="24" spans="8:9" x14ac:dyDescent="0.25">
      <c r="H24" s="8"/>
      <c r="I24" s="8"/>
    </row>
    <row r="25" spans="8:9" x14ac:dyDescent="0.25">
      <c r="H25" s="8"/>
      <c r="I25" s="8"/>
    </row>
    <row r="26" spans="8:9" x14ac:dyDescent="0.25">
      <c r="H26" s="8"/>
      <c r="I26" s="8"/>
    </row>
    <row r="27" spans="8:9" x14ac:dyDescent="0.25">
      <c r="H27" s="8"/>
      <c r="I27" s="8"/>
    </row>
    <row r="28" spans="8:9" x14ac:dyDescent="0.25">
      <c r="H28" s="8"/>
      <c r="I28" s="8"/>
    </row>
    <row r="29" spans="8:9" x14ac:dyDescent="0.25">
      <c r="H29" s="8"/>
      <c r="I29" s="8"/>
    </row>
    <row r="30" spans="8:9" x14ac:dyDescent="0.25">
      <c r="H30" s="8"/>
      <c r="I30" s="8"/>
    </row>
    <row r="31" spans="8:9" x14ac:dyDescent="0.25">
      <c r="H31" s="8"/>
      <c r="I31" s="8"/>
    </row>
    <row r="32" spans="8:9" x14ac:dyDescent="0.25">
      <c r="H32" s="8"/>
      <c r="I32" s="8"/>
    </row>
    <row r="33" spans="8:9" x14ac:dyDescent="0.25">
      <c r="H33" s="8"/>
      <c r="I33" s="8"/>
    </row>
    <row r="34" spans="8:9" x14ac:dyDescent="0.25">
      <c r="H34" s="8"/>
      <c r="I34" s="8"/>
    </row>
    <row r="35" spans="8:9" x14ac:dyDescent="0.25">
      <c r="H35" s="8"/>
      <c r="I35" s="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Design</vt:lpstr>
      <vt:lpstr>PipeData</vt:lpstr>
      <vt:lpstr>Design</vt:lpstr>
      <vt:lpstr>Design_EndCenterline</vt:lpstr>
      <vt:lpstr>Design_EndCover</vt:lpstr>
      <vt:lpstr>Design_EndDrop</vt:lpstr>
      <vt:lpstr>Design_EndInv</vt:lpstr>
      <vt:lpstr>Design_EndObv</vt:lpstr>
      <vt:lpstr>Design_FromToId</vt:lpstr>
      <vt:lpstr>Design_StartCenterlin</vt:lpstr>
      <vt:lpstr>Design_StartCover</vt:lpstr>
      <vt:lpstr>Design_StartInv</vt:lpstr>
      <vt:lpstr>Design_StartObv</vt:lpstr>
      <vt:lpstr>PipeData</vt:lpstr>
      <vt:lpstr>PipeData_EndInv</vt:lpstr>
      <vt:lpstr>PipeData_From</vt:lpstr>
      <vt:lpstr>PipeData_FromToId</vt:lpstr>
      <vt:lpstr>PipeData_Handle</vt:lpstr>
      <vt:lpstr>PipeData_InnerDiameter</vt:lpstr>
      <vt:lpstr>PipeData_Length</vt:lpstr>
      <vt:lpstr>PipeData_Slope</vt:lpstr>
      <vt:lpstr>PipeData_StartInv</vt:lpstr>
      <vt:lpstr>PipeData_To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Renaud</dc:creator>
  <cp:lastModifiedBy>Adam Renaud</cp:lastModifiedBy>
  <dcterms:created xsi:type="dcterms:W3CDTF">2015-06-05T18:17:20Z</dcterms:created>
  <dcterms:modified xsi:type="dcterms:W3CDTF">2019-07-14T12:54:09Z</dcterms:modified>
</cp:coreProperties>
</file>