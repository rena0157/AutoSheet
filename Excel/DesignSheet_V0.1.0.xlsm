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EE47264E-1FAD-47A8-8E3A-1FFFD6987B2E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Design" sheetId="3" r:id="rId1"/>
    <sheet name="PipeData" sheetId="1" r:id="rId2"/>
  </sheets>
  <functionGroups builtInGroupCount="19"/>
  <definedNames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Centerline">PipeData!#REF!</definedName>
    <definedName name="PipeData_EndInv">PipeData!$I:$I</definedName>
    <definedName name="PipeData_EndObv">PipeData!#REF!</definedName>
    <definedName name="PipeData_EndObvDrop">PipeData!#REF!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Centerline">PipeData!#REF!</definedName>
    <definedName name="PipeData_StartInv">PipeData!$H:$H</definedName>
    <definedName name="PipeData_StartObv">PipeData!#REF!</definedName>
    <definedName name="PipeData_To">PipeData!$C:$C</definedName>
    <definedName name="PipeData_UsCenterline">PipeData!#REF!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/>
  <c r="BB4" i="3"/>
  <c r="BB5" i="3"/>
  <c r="BB6" i="3"/>
  <c r="BB7" i="3"/>
  <c r="BB8" i="3"/>
  <c r="BB9" i="3"/>
  <c r="BB10" i="3"/>
  <c r="BB3" i="3"/>
  <c r="AM3" i="3"/>
  <c r="AL3" i="3"/>
  <c r="AK3" i="3"/>
  <c r="AJ5" i="3"/>
  <c r="AJ6" i="3" s="1"/>
  <c r="AJ8" i="3" s="1"/>
  <c r="AJ11" i="3" s="1"/>
  <c r="AJ7" i="3"/>
  <c r="AJ9" i="3"/>
  <c r="AJ10" i="3"/>
  <c r="AJ4" i="3"/>
  <c r="AJ3" i="3"/>
  <c r="AI4" i="3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F11" i="3" l="1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BE11" i="3" s="1"/>
  <c r="I10" i="1" s="1"/>
  <c r="AN6" i="3"/>
  <c r="AQ6" i="3" s="1"/>
  <c r="AB11" i="3"/>
  <c r="W10" i="3"/>
  <c r="V7" i="3"/>
  <c r="W7" i="3" s="1"/>
  <c r="V5" i="3"/>
  <c r="U3" i="3"/>
  <c r="T3" i="3"/>
  <c r="S3" i="3"/>
  <c r="AS5" i="3"/>
  <c r="AS11" i="3"/>
  <c r="AS7" i="3"/>
  <c r="AS6" i="3"/>
  <c r="AS9" i="3"/>
  <c r="AS10" i="3"/>
  <c r="AS8" i="3"/>
  <c r="AZ11" i="3" l="1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11" i="3"/>
  <c r="Y11" i="3" s="1"/>
  <c r="AT5" i="3"/>
  <c r="Y5" i="3" s="1"/>
  <c r="E3" i="3"/>
  <c r="AY11" i="3" l="1"/>
  <c r="BA11" i="3" s="1"/>
  <c r="H10" i="1"/>
  <c r="D2" i="1"/>
  <c r="D3" i="1"/>
  <c r="BD10" i="3" l="1"/>
  <c r="BE10" i="3"/>
  <c r="I9" i="1" s="1"/>
  <c r="BF10" i="3"/>
  <c r="AN3" i="3"/>
  <c r="AQ3" i="3" s="1"/>
  <c r="AU3" i="3"/>
  <c r="AS3" i="3"/>
  <c r="AZ10" i="3" l="1"/>
  <c r="H9" i="1" s="1"/>
  <c r="AT3" i="3"/>
  <c r="AV3" i="3"/>
  <c r="AW3" i="3"/>
  <c r="AY10" i="3" l="1"/>
  <c r="Y3" i="3"/>
  <c r="Z3" i="3" s="1"/>
  <c r="BA10" i="3" l="1"/>
  <c r="BD9" i="3"/>
  <c r="X4" i="3" a="1"/>
  <c r="X4" i="3" s="1"/>
  <c r="AK4" i="3" s="1"/>
  <c r="AL4" i="3" s="1"/>
  <c r="BE9" i="3" l="1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V5" i="3" s="1"/>
  <c r="AC6" i="3"/>
  <c r="AD6" i="3" s="1"/>
  <c r="AG6" i="3"/>
  <c r="AH6" i="3" s="1"/>
  <c r="Z6" i="3"/>
  <c r="X7" i="3" a="1"/>
  <c r="X7" i="3" s="1"/>
  <c r="AK7" i="3" s="1"/>
  <c r="AL7" i="3" s="1"/>
  <c r="BE8" i="3" l="1"/>
  <c r="I7" i="1" s="1"/>
  <c r="BF8" i="3"/>
  <c r="AM6" i="3"/>
  <c r="AV6" i="3" s="1"/>
  <c r="AW5" i="3"/>
  <c r="AC7" i="3"/>
  <c r="AD7" i="3" s="1"/>
  <c r="AG7" i="3"/>
  <c r="AH7" i="3" s="1"/>
  <c r="Z7" i="3"/>
  <c r="AZ8" i="3" l="1"/>
  <c r="H7" i="1" s="1"/>
  <c r="AW6" i="3"/>
  <c r="AM7" i="3"/>
  <c r="AV7" i="3" s="1"/>
  <c r="X8" i="3" a="1"/>
  <c r="X8" i="3" s="1"/>
  <c r="AW7" i="3" l="1"/>
  <c r="AY8" i="3"/>
  <c r="AG8" i="3"/>
  <c r="AH8" i="3" s="1"/>
  <c r="AK8" i="3"/>
  <c r="AL8" i="3" s="1"/>
  <c r="Z8" i="3"/>
  <c r="AC8" i="3"/>
  <c r="AD8" i="3" s="1"/>
  <c r="BA8" i="3" l="1"/>
  <c r="BD7" i="3"/>
  <c r="AM8" i="3"/>
  <c r="X9" i="3" a="1"/>
  <c r="X9" i="3" s="1"/>
  <c r="BE7" i="3" l="1"/>
  <c r="I6" i="1" s="1"/>
  <c r="BF7" i="3"/>
  <c r="AV8" i="3"/>
  <c r="AW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G11" i="3"/>
  <c r="AH11" i="3" s="1"/>
  <c r="AK11" i="3"/>
  <c r="AL11" i="3" s="1"/>
  <c r="AC11" i="3"/>
  <c r="AD11" i="3" s="1"/>
  <c r="Z11" i="3"/>
  <c r="BA7" i="3" l="1"/>
  <c r="BD6" i="3"/>
  <c r="AM11" i="3"/>
  <c r="AV10" i="3"/>
  <c r="AW10" i="3"/>
  <c r="BE6" i="3" l="1"/>
  <c r="I5" i="1" s="1"/>
  <c r="BF6" i="3"/>
  <c r="AW11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<sst xmlns="http://schemas.openxmlformats.org/spreadsheetml/2006/main" count="92" uniqueCount="56">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</sst>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6666FF"/>
      <name val="Arial"/>
      <family val="2"/>
    </font>
    <font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9" fontId="3" fillId="0" borderId="12" xfId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2" fontId="3" fillId="3" borderId="13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2" borderId="16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65" fontId="7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abSelected="1" topLeftCell="G1" workbookViewId="0">
      <pane xSplit="3" ySplit="2" topLeftCell="AO3" activePane="bottomRight" state="frozen"/>
      <selection activeCell="G1" sqref="G1"/>
      <selection pane="topRight" activeCell="J1" sqref="J1"/>
      <selection pane="bottomLeft" activeCell="G3" sqref="G3"/>
      <selection pane="bottomRight" activeCell="AU15" sqref="AU15"/>
    </sheetView>
  </sheetViews>
  <sheetFormatPr defaultColWidth="9.109375" defaultRowHeight="13.8" outlineLevelCol="1" x14ac:dyDescent="0.3"/>
  <cols>
    <col min="1" max="4" width="9.109375" style="2" hidden="1" customWidth="1" outlineLevel="1"/>
    <col min="5" max="5" width="19.5546875" style="1" hidden="1" customWidth="1" outlineLevel="1"/>
    <col min="6" max="6" width="2.6640625" style="2" hidden="1" customWidth="1" outlineLevel="1"/>
    <col min="7" max="7" width="23.44140625" style="2" customWidth="1" collapsed="1"/>
    <col min="8" max="8" width="9.33203125" style="3" customWidth="1"/>
    <col min="9" max="9" width="13.5546875" style="3" customWidth="1"/>
    <col min="10" max="21" width="9.109375" style="2" customWidth="1" outlineLevel="1"/>
    <col min="22" max="24" width="12.77734375" style="2" customWidth="1" outlineLevel="1"/>
    <col min="25" max="26" width="13.6640625" style="2" customWidth="1" outlineLevel="1"/>
    <col min="27" max="28" width="9.109375" style="2" customWidth="1" outlineLevel="1"/>
    <col min="29" max="29" width="10.6640625" style="2" customWidth="1" outlineLevel="1"/>
    <col min="30" max="32" width="9.109375" style="2" customWidth="1" outlineLevel="1"/>
    <col min="33" max="33" width="11.77734375" style="2" customWidth="1" outlineLevel="1"/>
    <col min="34" max="36" width="9.109375" style="2" customWidth="1" outlineLevel="1"/>
    <col min="37" max="37" width="10.77734375" style="2" customWidth="1" outlineLevel="1"/>
    <col min="38" max="38" width="9.109375" style="2" customWidth="1" outlineLevel="1"/>
    <col min="39" max="39" width="11.88671875" style="2" customWidth="1" outlineLevel="1"/>
    <col min="40" max="42" width="9.109375" style="3"/>
    <col min="43" max="43" width="10.44140625" style="3" customWidth="1"/>
    <col min="44" max="44" width="9.109375" style="3"/>
    <col min="45" max="45" width="9.5546875" style="3" bestFit="1" customWidth="1"/>
    <col min="46" max="47" width="9.109375" style="3"/>
    <col min="48" max="48" width="11.21875" style="3" customWidth="1"/>
    <col min="49" max="49" width="9.109375" style="3"/>
    <col min="50" max="50" width="12.88671875" style="3" customWidth="1"/>
    <col min="51" max="53" width="9.109375" style="3"/>
    <col min="54" max="54" width="13.6640625" style="3" customWidth="1"/>
    <col min="55" max="58" width="9.109375" style="3"/>
    <col min="59" max="16384" width="9.109375" style="2"/>
  </cols>
  <sheetData>
    <row r="1" spans="5:58" ht="14.4" customHeight="1" x14ac:dyDescent="0.3">
      <c r="G1" s="60" t="s">
        <v>55</v>
      </c>
      <c r="H1" s="13" t="s">
        <v>15</v>
      </c>
      <c r="I1" s="14"/>
      <c r="J1" s="12" t="s">
        <v>8</v>
      </c>
      <c r="K1" s="13"/>
      <c r="L1" s="14"/>
      <c r="M1" s="12" t="s">
        <v>9</v>
      </c>
      <c r="N1" s="13"/>
      <c r="O1" s="14"/>
      <c r="P1" s="12" t="s">
        <v>10</v>
      </c>
      <c r="Q1" s="13"/>
      <c r="R1" s="14"/>
      <c r="S1" s="12" t="s">
        <v>11</v>
      </c>
      <c r="T1" s="13"/>
      <c r="U1" s="14"/>
      <c r="V1" s="17" t="s">
        <v>47</v>
      </c>
      <c r="W1" s="18" t="s">
        <v>46</v>
      </c>
      <c r="X1" s="18" t="s">
        <v>16</v>
      </c>
      <c r="Y1" s="18" t="s">
        <v>48</v>
      </c>
      <c r="Z1" s="39" t="s">
        <v>54</v>
      </c>
      <c r="AA1" s="41" t="s">
        <v>17</v>
      </c>
      <c r="AB1" s="13"/>
      <c r="AC1" s="13"/>
      <c r="AD1" s="14"/>
      <c r="AE1" s="12" t="s">
        <v>22</v>
      </c>
      <c r="AF1" s="13"/>
      <c r="AG1" s="13"/>
      <c r="AH1" s="14"/>
      <c r="AI1" s="12" t="s">
        <v>24</v>
      </c>
      <c r="AJ1" s="13"/>
      <c r="AK1" s="13"/>
      <c r="AL1" s="14"/>
      <c r="AM1" s="44" t="s">
        <v>26</v>
      </c>
      <c r="AN1" s="12" t="s">
        <v>27</v>
      </c>
      <c r="AO1" s="13"/>
      <c r="AP1" s="13"/>
      <c r="AQ1" s="13"/>
      <c r="AR1" s="13"/>
      <c r="AS1" s="13"/>
      <c r="AT1" s="13"/>
      <c r="AU1" s="13"/>
      <c r="AV1" s="13"/>
      <c r="AW1" s="14"/>
      <c r="AX1" s="12" t="s">
        <v>35</v>
      </c>
      <c r="AY1" s="13"/>
      <c r="AZ1" s="13"/>
      <c r="BA1" s="14"/>
      <c r="BB1" s="12" t="s">
        <v>36</v>
      </c>
      <c r="BC1" s="13"/>
      <c r="BD1" s="13"/>
      <c r="BE1" s="13"/>
      <c r="BF1" s="14"/>
    </row>
    <row r="2" spans="5:58" s="3" customFormat="1" ht="32.25" customHeight="1" x14ac:dyDescent="0.3">
      <c r="E2" s="37" t="s">
        <v>43</v>
      </c>
      <c r="G2" s="61"/>
      <c r="H2" s="9" t="s">
        <v>0</v>
      </c>
      <c r="I2" s="16" t="s">
        <v>1</v>
      </c>
      <c r="J2" s="15">
        <v>0.56999999999999995</v>
      </c>
      <c r="K2" s="9">
        <v>0.57999999999999996</v>
      </c>
      <c r="L2" s="16">
        <v>0.65</v>
      </c>
      <c r="M2" s="15">
        <v>0.56999999999999995</v>
      </c>
      <c r="N2" s="9">
        <v>0.57999999999999996</v>
      </c>
      <c r="O2" s="16">
        <v>0.65</v>
      </c>
      <c r="P2" s="15">
        <v>0.56999999999999995</v>
      </c>
      <c r="Q2" s="9">
        <v>0.57999999999999996</v>
      </c>
      <c r="R2" s="16">
        <v>0.67</v>
      </c>
      <c r="S2" s="15" t="s">
        <v>12</v>
      </c>
      <c r="T2" s="9" t="s">
        <v>13</v>
      </c>
      <c r="U2" s="16" t="s">
        <v>14</v>
      </c>
      <c r="V2" s="19"/>
      <c r="W2" s="8"/>
      <c r="X2" s="8"/>
      <c r="Y2" s="8"/>
      <c r="Z2" s="40"/>
      <c r="AA2" s="11" t="s">
        <v>18</v>
      </c>
      <c r="AB2" s="10" t="s">
        <v>19</v>
      </c>
      <c r="AC2" s="10" t="s">
        <v>20</v>
      </c>
      <c r="AD2" s="36" t="s">
        <v>21</v>
      </c>
      <c r="AE2" s="15" t="s">
        <v>18</v>
      </c>
      <c r="AF2" s="10" t="s">
        <v>19</v>
      </c>
      <c r="AG2" s="10" t="s">
        <v>23</v>
      </c>
      <c r="AH2" s="36" t="s">
        <v>21</v>
      </c>
      <c r="AI2" s="15" t="s">
        <v>18</v>
      </c>
      <c r="AJ2" s="10" t="s">
        <v>19</v>
      </c>
      <c r="AK2" s="10" t="s">
        <v>25</v>
      </c>
      <c r="AL2" s="36" t="s">
        <v>21</v>
      </c>
      <c r="AM2" s="45"/>
      <c r="AN2" s="15" t="s">
        <v>28</v>
      </c>
      <c r="AO2" s="9" t="s">
        <v>29</v>
      </c>
      <c r="AP2" s="9" t="s">
        <v>30</v>
      </c>
      <c r="AQ2" s="10" t="s">
        <v>31</v>
      </c>
      <c r="AR2" s="9" t="s">
        <v>3</v>
      </c>
      <c r="AS2" s="10" t="s">
        <v>45</v>
      </c>
      <c r="AT2" s="9" t="s">
        <v>32</v>
      </c>
      <c r="AU2" s="9" t="s">
        <v>2</v>
      </c>
      <c r="AV2" s="10" t="s">
        <v>33</v>
      </c>
      <c r="AW2" s="16" t="s">
        <v>34</v>
      </c>
      <c r="AX2" s="15" t="s">
        <v>37</v>
      </c>
      <c r="AY2" s="9" t="s">
        <v>38</v>
      </c>
      <c r="AZ2" s="9" t="s">
        <v>39</v>
      </c>
      <c r="BA2" s="16" t="s">
        <v>40</v>
      </c>
      <c r="BB2" s="15" t="s">
        <v>37</v>
      </c>
      <c r="BC2" s="9" t="s">
        <v>41</v>
      </c>
      <c r="BD2" s="9" t="s">
        <v>38</v>
      </c>
      <c r="BE2" s="9" t="s">
        <v>39</v>
      </c>
      <c r="BF2" s="16" t="s">
        <v>40</v>
      </c>
    </row>
    <row r="3" spans="5:58" x14ac:dyDescent="0.3">
      <c r="E3" s="37" t="str">
        <f>_xlfn.CONCAT(H3,"-",I3)</f>
        <v>191-192</v>
      </c>
      <c r="G3" s="20" t="s">
        <v>42</v>
      </c>
      <c r="H3" s="31">
        <v>191</v>
      </c>
      <c r="I3" s="32">
        <v>192</v>
      </c>
      <c r="J3" s="47"/>
      <c r="K3" s="48">
        <v>0.25</v>
      </c>
      <c r="L3" s="49"/>
      <c r="M3" s="47"/>
      <c r="N3" s="48"/>
      <c r="O3" s="49"/>
      <c r="P3" s="47"/>
      <c r="Q3" s="48"/>
      <c r="R3" s="49"/>
      <c r="S3" s="26">
        <f>SUM(J3:L3)</f>
        <v>0.25</v>
      </c>
      <c r="T3" s="23">
        <f>SUM(M3:O3)</f>
        <v>0</v>
      </c>
      <c r="U3" s="27">
        <f>SUM(P3:R3)</f>
        <v>0</v>
      </c>
      <c r="V3" s="26">
        <f>SUM(S3:U3)</f>
        <v>0.25</v>
      </c>
      <c r="W3" s="23">
        <f>V3</f>
        <v>0.25</v>
      </c>
      <c r="X3" s="23">
        <v>10</v>
      </c>
      <c r="Y3" s="23">
        <f>AU3/AT3/60</f>
        <v>1.2435044750345274</v>
      </c>
      <c r="Z3" s="27">
        <f>SUM(X3:Y3)</f>
        <v>11.243504475034527</v>
      </c>
      <c r="AA3" s="42">
        <f>SUMPRODUCT(J3:L3,$J$2:$L$2)*2.78</f>
        <v>0.40309999999999996</v>
      </c>
      <c r="AB3" s="23">
        <f>AA3</f>
        <v>0.40309999999999996</v>
      </c>
      <c r="AC3" s="23">
        <f>732.951/(X3+6.199)^0.81</f>
        <v>76.805000323638325</v>
      </c>
      <c r="AD3" s="35">
        <f>AC3*AB3</f>
        <v>30.960095630458607</v>
      </c>
      <c r="AE3" s="26">
        <f>SUMPRODUCT(M3:O3,$M$2:$O$2)*2.78</f>
        <v>0</v>
      </c>
      <c r="AF3" s="23">
        <f>AE3</f>
        <v>0</v>
      </c>
      <c r="AG3" s="23">
        <f>998.071/(X3+6.053)^0.814</f>
        <v>104.1930342415708</v>
      </c>
      <c r="AH3" s="35">
        <f>AG3*AF3</f>
        <v>0</v>
      </c>
      <c r="AI3" s="26">
        <f>SUMPRODUCT(P3:R3,$P$2:$R$2)</f>
        <v>0</v>
      </c>
      <c r="AJ3" s="23">
        <f>AI3</f>
        <v>0</v>
      </c>
      <c r="AK3" s="23">
        <f>1174.184/(X3+6.014)^0.816</f>
        <v>122.1417959950312</v>
      </c>
      <c r="AL3" s="35">
        <f>AK3*AJ3</f>
        <v>0</v>
      </c>
      <c r="AM3" s="46">
        <f>SUM(AL3,AH3,AD3)</f>
        <v>30.960095630458607</v>
      </c>
      <c r="AN3" s="22">
        <f>INDEX(PipeData,MATCH($E3,PipeData_FromToId,0),COLUMN(PipeData_InnerDiameter))</f>
        <v>600</v>
      </c>
      <c r="AO3" s="21"/>
      <c r="AP3" s="21"/>
      <c r="AQ3" s="21">
        <f>AN3/25*25.4</f>
        <v>609.59999999999991</v>
      </c>
      <c r="AR3" s="63">
        <v>3.5000000000000001E-3</v>
      </c>
      <c r="AS3" s="23">
        <f>ManningCircular(AQ3/1000,AR3,0.013)</f>
        <v>378.96035559130939</v>
      </c>
      <c r="AT3" s="21">
        <f>AS3/((AN3/2000)^2*PI())/1000</f>
        <v>1.3402980850715391</v>
      </c>
      <c r="AU3" s="21">
        <f>INDEX(PipeData,MATCH($E3,PipeData_FromToId,0),COLUMN(PipeData_Length))</f>
        <v>100</v>
      </c>
      <c r="AV3" s="23">
        <f>AS3-AM3</f>
        <v>348.00025996085077</v>
      </c>
      <c r="AW3" s="24">
        <f>AM3/AS3</f>
        <v>8.1697452447631727E-2</v>
      </c>
      <c r="AX3" s="53">
        <v>104.2</v>
      </c>
      <c r="AY3" s="55">
        <f t="shared" ref="AY3:AY10" si="0">AZ3+AQ3/1000</f>
        <v>103.14999999999995</v>
      </c>
      <c r="AZ3" s="55">
        <f t="shared" ref="AZ3:AZ10" si="1">BE3+AU3*AR3</f>
        <v>102.54039999999995</v>
      </c>
      <c r="BA3" s="56">
        <f t="shared" ref="BA3:BA10" si="2">AX3-AY3</f>
        <v>1.050000000000054</v>
      </c>
      <c r="BB3" s="57">
        <f>INDEX(Design,MATCH(I3,Design_From,0),COLUMN(Design_StartCenterlin))</f>
        <v>104.2</v>
      </c>
      <c r="BC3" s="58"/>
      <c r="BD3" s="55">
        <f t="shared" ref="BD3:BD9" si="3">AY4+BC3</f>
        <v>102.79999999999995</v>
      </c>
      <c r="BE3" s="55">
        <f t="shared" ref="BE3:BE9" si="4">BD3-AQ3/1000</f>
        <v>102.19039999999995</v>
      </c>
      <c r="BF3" s="56">
        <f t="shared" ref="BF3:BF9" si="5">BB3-BD3</f>
        <v>1.4000000000000483</v>
      </c>
    </row>
    <row r="4" spans="5:58" x14ac:dyDescent="0.3">
      <c r="E4" s="37" t="str">
        <f t="shared" ref="E4:E11" si="6">_xlfn.CONCAT(H4,"-",I4)</f>
        <v>192-193</v>
      </c>
      <c r="G4" s="25" t="s">
        <v>42</v>
      </c>
      <c r="H4" s="33">
        <v>192</v>
      </c>
      <c r="I4" s="34">
        <v>193</v>
      </c>
      <c r="J4" s="50">
        <v>0.3</v>
      </c>
      <c r="K4" s="51"/>
      <c r="L4" s="52"/>
      <c r="M4" s="50"/>
      <c r="N4" s="51">
        <v>0.1</v>
      </c>
      <c r="O4" s="52"/>
      <c r="P4" s="50"/>
      <c r="Q4" s="51"/>
      <c r="R4" s="52"/>
      <c r="S4" s="28">
        <f>SUM(J4:L4)</f>
        <v>0.3</v>
      </c>
      <c r="T4" s="29">
        <f>SUM(M4:O4)</f>
        <v>0.1</v>
      </c>
      <c r="U4" s="30">
        <f>SUM(P4:R4)</f>
        <v>0</v>
      </c>
      <c r="V4" s="28">
        <f>SUM(S4:U4)</f>
        <v>0.4</v>
      </c>
      <c r="W4" s="29">
        <f>SUMIF($I$3:$I3,$H4,W$3:W3)+V4</f>
        <v>0.65</v>
      </c>
      <c r="X4" s="29">
        <f t="array" ref="X4">MAX(--(I$3:I3=H4)*Z$3:Z3,10)</f>
        <v>11.243504475034527</v>
      </c>
      <c r="Y4" s="29">
        <f t="shared" ref="Y4:Y11" si="7">AU4/AT4/60</f>
        <v>1.2435044750345274</v>
      </c>
      <c r="Z4" s="27">
        <f t="shared" ref="Z4:Z11" si="8">SUM(X4:Y4)</f>
        <v>12.487008950069054</v>
      </c>
      <c r="AA4" s="43">
        <f>SUMPRODUCT(J4:L4,$J$2:$L$2)*2.78</f>
        <v>0.47537999999999991</v>
      </c>
      <c r="AB4" s="29">
        <f>SUMIF($I$3:$I3,$H4,AB$3:AB3)+AA4</f>
        <v>0.87847999999999993</v>
      </c>
      <c r="AC4" s="29">
        <f>732.951/(X4+6.199)^0.81</f>
        <v>72.338879730776341</v>
      </c>
      <c r="AD4" s="38">
        <f t="shared" ref="AD4:AD11" si="9">AC4*AB4</f>
        <v>63.548259065892395</v>
      </c>
      <c r="AE4" s="26">
        <f t="shared" ref="AE4:AE11" si="10">SUMPRODUCT(M4:O4,$M$2:$O$2)*2.78</f>
        <v>0.16123999999999997</v>
      </c>
      <c r="AF4" s="29">
        <f>SUMIF($I$3:$I3,$H4,AF$3:AF3)+AE4</f>
        <v>0.16123999999999997</v>
      </c>
      <c r="AG4" s="23">
        <f t="shared" ref="AG4:AG11" si="11">998.071/(X4+6.053)^0.814</f>
        <v>98.053555292635309</v>
      </c>
      <c r="AH4" s="35">
        <f t="shared" ref="AH4:AH11" si="12">AG4*AF4</f>
        <v>15.810155255384513</v>
      </c>
      <c r="AI4" s="26">
        <f t="shared" ref="AI4:AI11" si="13">SUMPRODUCT(P4:R4,$P$2:$R$2)</f>
        <v>0</v>
      </c>
      <c r="AJ4" s="29">
        <f>SUMIF($I$3:$I3,$H4,AJ$3:AJ3)+AI4</f>
        <v>0</v>
      </c>
      <c r="AK4" s="23">
        <f t="shared" ref="AK4:AK11" si="14">1174.184/(X4+6.014)^0.816</f>
        <v>114.91113506250787</v>
      </c>
      <c r="AL4" s="35">
        <f t="shared" ref="AL4:AL11" si="15">AK4*AJ4</f>
        <v>0</v>
      </c>
      <c r="AM4" s="46">
        <f t="shared" ref="AM4:AM11" si="16">SUM(AL4,AH4,AD4)</f>
        <v>79.358414321276911</v>
      </c>
      <c r="AN4" s="22">
        <f>INDEX(PipeData,MATCH($E4,PipeData_FromToId,0),COLUMN(PipeData_InnerDiameter))</f>
        <v>600</v>
      </c>
      <c r="AO4" s="21"/>
      <c r="AP4" s="21"/>
      <c r="AQ4" s="21">
        <f t="shared" ref="AQ4:AQ11" si="17">AN4/25*25.4</f>
        <v>609.59999999999991</v>
      </c>
      <c r="AR4" s="63">
        <v>3.5000000000000001E-3</v>
      </c>
      <c r="AS4" s="23">
        <f t="shared" ref="AS4:AS11" si="18">ManningCircular(AQ4/1000,AR4,0.013)</f>
        <v>378.96035559130939</v>
      </c>
      <c r="AT4" s="21">
        <f t="shared" ref="AT4:AT11" si="19">AS4/((AN4/2000)^2*PI())/1000</f>
        <v>1.3402980850715391</v>
      </c>
      <c r="AU4" s="21">
        <f>INDEX(PipeData,MATCH($E4,PipeData_FromToId,0),COLUMN(PipeData_Length))</f>
        <v>100</v>
      </c>
      <c r="AV4" s="23">
        <f t="shared" ref="AV4:AV11" si="20">AS4-AM4</f>
        <v>299.60194127003251</v>
      </c>
      <c r="AW4" s="24">
        <f t="shared" ref="AW4:AW11" si="21">AM4/AS4</f>
        <v>0.20941086092620506</v>
      </c>
      <c r="AX4" s="54">
        <v>104.2</v>
      </c>
      <c r="AY4" s="55">
        <f t="shared" si="0"/>
        <v>102.79999999999995</v>
      </c>
      <c r="AZ4" s="55">
        <f t="shared" si="1"/>
        <v>102.19039999999995</v>
      </c>
      <c r="BA4" s="56">
        <f t="shared" si="2"/>
        <v>1.4000000000000483</v>
      </c>
      <c r="BB4" s="57">
        <f>INDEX(Design,MATCH(I4,Design_From,0),COLUMN(Design_StartCenterlin))</f>
        <v>104.2</v>
      </c>
      <c r="BC4" s="59"/>
      <c r="BD4" s="55">
        <f t="shared" si="3"/>
        <v>102.44999999999996</v>
      </c>
      <c r="BE4" s="55">
        <f t="shared" si="4"/>
        <v>101.84039999999996</v>
      </c>
      <c r="BF4" s="56">
        <f t="shared" si="5"/>
        <v>1.7500000000000426</v>
      </c>
    </row>
    <row r="5" spans="5:58" x14ac:dyDescent="0.3">
      <c r="E5" s="37" t="str">
        <f t="shared" si="6"/>
        <v>193-194</v>
      </c>
      <c r="G5" s="25" t="s">
        <v>42</v>
      </c>
      <c r="H5" s="33">
        <v>193</v>
      </c>
      <c r="I5" s="34">
        <v>194</v>
      </c>
      <c r="J5" s="50">
        <v>0.15</v>
      </c>
      <c r="K5" s="51"/>
      <c r="L5" s="52"/>
      <c r="M5" s="50"/>
      <c r="N5" s="51"/>
      <c r="O5" s="52"/>
      <c r="P5" s="50"/>
      <c r="Q5" s="51"/>
      <c r="R5" s="52"/>
      <c r="S5" s="28">
        <f>SUM(J5:L5)</f>
        <v>0.15</v>
      </c>
      <c r="T5" s="29">
        <f>SUM(M5:O5)</f>
        <v>0</v>
      </c>
      <c r="U5" s="30">
        <f>SUM(P5:R5)</f>
        <v>0</v>
      </c>
      <c r="V5" s="28">
        <f>SUM(S5:U5)</f>
        <v>0.15</v>
      </c>
      <c r="W5" s="29">
        <f>SUMIF(I$3:I4,H5,W$3:W4)+V5</f>
        <v>0.8</v>
      </c>
      <c r="X5" s="29">
        <f t="array" ref="X5">MAX(--(I$3:I4=H5)*Z$3:Z4,10)</f>
        <v>12.487008950069054</v>
      </c>
      <c r="Y5" s="29">
        <f t="shared" si="7"/>
        <v>1.2435044750345274</v>
      </c>
      <c r="Z5" s="27">
        <f t="shared" si="8"/>
        <v>13.730513425103581</v>
      </c>
      <c r="AA5" s="43">
        <f>SUMPRODUCT(J5:L5,$J$2:$L$2)*2.78</f>
        <v>0.23768999999999996</v>
      </c>
      <c r="AB5" s="29">
        <f>SUMIF($I$3:$I4,$H5,AB$3:AB4)+AA5</f>
        <v>1.1161699999999999</v>
      </c>
      <c r="AC5" s="29">
        <f>732.951/(X5+6.199)^0.81</f>
        <v>68.414244304768587</v>
      </c>
      <c r="AD5" s="38">
        <f t="shared" si="9"/>
        <v>76.361927065653546</v>
      </c>
      <c r="AE5" s="26">
        <f t="shared" si="10"/>
        <v>0</v>
      </c>
      <c r="AF5" s="29">
        <f>SUMIF($I$3:$I4,$H5,AF$3:AF4)+AE5</f>
        <v>0.16123999999999997</v>
      </c>
      <c r="AG5" s="23">
        <f t="shared" si="11"/>
        <v>92.665899587926162</v>
      </c>
      <c r="AH5" s="35">
        <f t="shared" si="12"/>
        <v>14.941449649557212</v>
      </c>
      <c r="AI5" s="26">
        <f t="shared" si="13"/>
        <v>0</v>
      </c>
      <c r="AJ5" s="29">
        <f>SUMIF($I$3:$I4,$H5,AJ$3:AJ4)+AI5</f>
        <v>0</v>
      </c>
      <c r="AK5" s="23">
        <f t="shared" si="14"/>
        <v>108.56871583606903</v>
      </c>
      <c r="AL5" s="35">
        <f t="shared" si="15"/>
        <v>0</v>
      </c>
      <c r="AM5" s="46">
        <f t="shared" si="16"/>
        <v>91.30337671521076</v>
      </c>
      <c r="AN5" s="22">
        <f>INDEX(PipeData,MATCH($E5,PipeData_FromToId,0),COLUMN(PipeData_InnerDiameter))</f>
        <v>600</v>
      </c>
      <c r="AO5" s="21"/>
      <c r="AP5" s="21"/>
      <c r="AQ5" s="21">
        <f t="shared" si="17"/>
        <v>609.59999999999991</v>
      </c>
      <c r="AR5" s="63">
        <v>3.5000000000000001E-3</v>
      </c>
      <c r="AS5" s="23">
        <f t="shared" si="18"/>
        <v>378.96035559130939</v>
      </c>
      <c r="AT5" s="21">
        <f t="shared" si="19"/>
        <v>1.3402980850715391</v>
      </c>
      <c r="AU5" s="21">
        <f>INDEX(PipeData,MATCH($E5,PipeData_FromToId,0),COLUMN(PipeData_Length))</f>
        <v>100</v>
      </c>
      <c r="AV5" s="23">
        <f t="shared" si="20"/>
        <v>287.65697887609861</v>
      </c>
      <c r="AW5" s="24">
        <f t="shared" si="21"/>
        <v>0.24093120920985486</v>
      </c>
      <c r="AX5" s="54">
        <v>104.2</v>
      </c>
      <c r="AY5" s="55">
        <f t="shared" si="0"/>
        <v>102.44999999999996</v>
      </c>
      <c r="AZ5" s="55">
        <f t="shared" si="1"/>
        <v>101.84039999999996</v>
      </c>
      <c r="BA5" s="56">
        <f t="shared" si="2"/>
        <v>1.7500000000000426</v>
      </c>
      <c r="BB5" s="57">
        <f>INDEX(Design,MATCH(I5,Design_From,0),COLUMN(Design_StartCenterlin))</f>
        <v>104.4</v>
      </c>
      <c r="BC5" s="59"/>
      <c r="BD5" s="55">
        <f t="shared" si="3"/>
        <v>102.09999999999997</v>
      </c>
      <c r="BE5" s="55">
        <f t="shared" si="4"/>
        <v>101.49039999999997</v>
      </c>
      <c r="BF5" s="56">
        <f t="shared" si="5"/>
        <v>2.3000000000000398</v>
      </c>
    </row>
    <row r="6" spans="5:58" x14ac:dyDescent="0.3">
      <c r="E6" s="37" t="str">
        <f t="shared" si="6"/>
        <v>194-Ex.510</v>
      </c>
      <c r="G6" s="25" t="s">
        <v>42</v>
      </c>
      <c r="H6" s="33">
        <v>194</v>
      </c>
      <c r="I6" s="34" t="s">
        <v>49</v>
      </c>
      <c r="J6" s="50">
        <v>0.3</v>
      </c>
      <c r="K6" s="51"/>
      <c r="L6" s="52"/>
      <c r="M6" s="50"/>
      <c r="N6" s="51"/>
      <c r="O6" s="52"/>
      <c r="P6" s="50"/>
      <c r="Q6" s="51"/>
      <c r="R6" s="52"/>
      <c r="S6" s="28">
        <f>SUM(J6:L6)</f>
        <v>0.3</v>
      </c>
      <c r="T6" s="29">
        <f>SUM(M6:O6)</f>
        <v>0</v>
      </c>
      <c r="U6" s="30">
        <f>SUM(P6:R6)</f>
        <v>0</v>
      </c>
      <c r="V6" s="28">
        <f>SUM(S6:U6)</f>
        <v>0.3</v>
      </c>
      <c r="W6" s="29">
        <f>SUMIF(I$3:I5,H6,W$3:W5)+V6</f>
        <v>1.1000000000000001</v>
      </c>
      <c r="X6" s="29">
        <f t="array" ref="X6">MAX(--(I$3:I5=H6)*Z$3:Z5,10)</f>
        <v>13.730513425103581</v>
      </c>
      <c r="Y6" s="29">
        <f t="shared" si="7"/>
        <v>1.2435044750345274</v>
      </c>
      <c r="Z6" s="27">
        <f t="shared" si="8"/>
        <v>14.974017900138108</v>
      </c>
      <c r="AA6" s="43">
        <f>SUMPRODUCT(J6:L6,$J$2:$L$2)*2.78</f>
        <v>0.47537999999999991</v>
      </c>
      <c r="AB6" s="29">
        <f>SUMIF($I$3:$I5,$H6,AB$3:AB5)+AA6</f>
        <v>1.5915499999999998</v>
      </c>
      <c r="AC6" s="29">
        <f>732.951/(X6+6.199)^0.81</f>
        <v>64.935564192766293</v>
      </c>
      <c r="AD6" s="38">
        <f t="shared" si="9"/>
        <v>103.34819719099718</v>
      </c>
      <c r="AE6" s="26">
        <f t="shared" si="10"/>
        <v>0</v>
      </c>
      <c r="AF6" s="29">
        <f>SUMIF($I$3:$I5,$H6,AF$3:AF5)+AE6</f>
        <v>0.16123999999999997</v>
      </c>
      <c r="AG6" s="23">
        <f t="shared" si="11"/>
        <v>87.896271170745436</v>
      </c>
      <c r="AH6" s="35">
        <f t="shared" si="12"/>
        <v>14.172394763570992</v>
      </c>
      <c r="AI6" s="26">
        <f t="shared" si="13"/>
        <v>0</v>
      </c>
      <c r="AJ6" s="29">
        <f>SUMIF($I$3:$I5,$H6,AJ$3:AJ5)+AI6</f>
        <v>0</v>
      </c>
      <c r="AK6" s="23">
        <f t="shared" si="14"/>
        <v>102.95604871118859</v>
      </c>
      <c r="AL6" s="35">
        <f t="shared" si="15"/>
        <v>0</v>
      </c>
      <c r="AM6" s="46">
        <f t="shared" si="16"/>
        <v>117.52059195456818</v>
      </c>
      <c r="AN6" s="22">
        <f>INDEX(PipeData,MATCH($E6,PipeData_FromToId,0),COLUMN(PipeData_InnerDiameter))</f>
        <v>600</v>
      </c>
      <c r="AO6" s="21"/>
      <c r="AP6" s="21"/>
      <c r="AQ6" s="21">
        <f t="shared" si="17"/>
        <v>609.59999999999991</v>
      </c>
      <c r="AR6" s="63">
        <v>3.5000000000000001E-3</v>
      </c>
      <c r="AS6" s="23">
        <f t="shared" si="18"/>
        <v>378.96035559130939</v>
      </c>
      <c r="AT6" s="21">
        <f t="shared" si="19"/>
        <v>1.3402980850715391</v>
      </c>
      <c r="AU6" s="21">
        <f>INDEX(PipeData,MATCH($E6,PipeData_FromToId,0),COLUMN(PipeData_Length))</f>
        <v>100</v>
      </c>
      <c r="AV6" s="23">
        <f t="shared" si="20"/>
        <v>261.43976363674119</v>
      </c>
      <c r="AW6" s="24">
        <f t="shared" si="21"/>
        <v>0.31011315621971947</v>
      </c>
      <c r="AX6" s="54">
        <v>104.4</v>
      </c>
      <c r="AY6" s="55">
        <f t="shared" si="0"/>
        <v>102.09999999999997</v>
      </c>
      <c r="AZ6" s="55">
        <f t="shared" si="1"/>
        <v>101.49039999999997</v>
      </c>
      <c r="BA6" s="56">
        <f t="shared" si="2"/>
        <v>2.3000000000000398</v>
      </c>
      <c r="BB6" s="57">
        <f>INDEX(Design,MATCH(I6,Design_From,0),COLUMN(Design_StartCenterlin))</f>
        <v>104.6</v>
      </c>
      <c r="BC6" s="59"/>
      <c r="BD6" s="55">
        <f t="shared" si="3"/>
        <v>101.74999999999997</v>
      </c>
      <c r="BE6" s="55">
        <f t="shared" si="4"/>
        <v>101.14039999999997</v>
      </c>
      <c r="BF6" s="56">
        <f t="shared" si="5"/>
        <v>2.8500000000000227</v>
      </c>
    </row>
    <row r="7" spans="5:58" x14ac:dyDescent="0.3">
      <c r="E7" s="37" t="str">
        <f t="shared" si="6"/>
        <v>Ex.509-Ex.510</v>
      </c>
      <c r="G7" s="25" t="s">
        <v>50</v>
      </c>
      <c r="H7" s="33" t="s">
        <v>51</v>
      </c>
      <c r="I7" s="34" t="s">
        <v>49</v>
      </c>
      <c r="J7" s="50"/>
      <c r="K7" s="51"/>
      <c r="L7" s="52">
        <v>0.2</v>
      </c>
      <c r="M7" s="50"/>
      <c r="N7" s="51"/>
      <c r="O7" s="52"/>
      <c r="P7" s="50"/>
      <c r="Q7" s="51"/>
      <c r="R7" s="52"/>
      <c r="S7" s="28">
        <f>SUM(J7:L7)</f>
        <v>0.2</v>
      </c>
      <c r="T7" s="29">
        <f>SUM(M7:O7)</f>
        <v>0</v>
      </c>
      <c r="U7" s="30">
        <f>SUM(P7:R7)</f>
        <v>0</v>
      </c>
      <c r="V7" s="28">
        <f>SUM(S7:U7)</f>
        <v>0.2</v>
      </c>
      <c r="W7" s="29">
        <f>SUMIF(I$3:I6,H7,W$3:W6)+V7</f>
        <v>0.2</v>
      </c>
      <c r="X7" s="29">
        <f t="array" ref="X7">MAX(--(I$3:I6=H7)*Z$3:Z6,10)</f>
        <v>10</v>
      </c>
      <c r="Y7" s="29">
        <f t="shared" si="7"/>
        <v>1.2435044750345274</v>
      </c>
      <c r="Z7" s="27">
        <f t="shared" si="8"/>
        <v>11.243504475034527</v>
      </c>
      <c r="AA7" s="43">
        <f>SUMPRODUCT(J7:L7,$J$2:$L$2)*2.78</f>
        <v>0.3614</v>
      </c>
      <c r="AB7" s="29">
        <f>SUMIF($I$3:$I6,$H7,AB$3:AB6)+AA7</f>
        <v>0.3614</v>
      </c>
      <c r="AC7" s="29">
        <f>732.951/(X7+6.199)^0.81</f>
        <v>76.805000323638325</v>
      </c>
      <c r="AD7" s="38">
        <f t="shared" si="9"/>
        <v>27.757327116962891</v>
      </c>
      <c r="AE7" s="26">
        <f t="shared" si="10"/>
        <v>0</v>
      </c>
      <c r="AF7" s="29">
        <f>SUMIF($I$3:$I6,$H7,AF$3:AF6)+AE7</f>
        <v>0</v>
      </c>
      <c r="AG7" s="23">
        <f t="shared" si="11"/>
        <v>104.1930342415708</v>
      </c>
      <c r="AH7" s="35">
        <f t="shared" si="12"/>
        <v>0</v>
      </c>
      <c r="AI7" s="26">
        <f t="shared" si="13"/>
        <v>0</v>
      </c>
      <c r="AJ7" s="29">
        <f>SUMIF($I$3:$I6,$H7,AJ$3:AJ6)+AI7</f>
        <v>0</v>
      </c>
      <c r="AK7" s="23">
        <f t="shared" si="14"/>
        <v>122.1417959950312</v>
      </c>
      <c r="AL7" s="35">
        <f t="shared" si="15"/>
        <v>0</v>
      </c>
      <c r="AM7" s="46">
        <f t="shared" si="16"/>
        <v>27.757327116962891</v>
      </c>
      <c r="AN7" s="22">
        <f>INDEX(PipeData,MATCH($E7,PipeData_FromToId,0),COLUMN(PipeData_InnerDiameter))</f>
        <v>600</v>
      </c>
      <c r="AO7" s="21"/>
      <c r="AP7" s="21"/>
      <c r="AQ7" s="21">
        <f t="shared" si="17"/>
        <v>609.59999999999991</v>
      </c>
      <c r="AR7" s="63">
        <v>3.5000000000000001E-3</v>
      </c>
      <c r="AS7" s="23">
        <f t="shared" si="18"/>
        <v>378.96035559130939</v>
      </c>
      <c r="AT7" s="21">
        <f t="shared" si="19"/>
        <v>1.3402980850715391</v>
      </c>
      <c r="AU7" s="21">
        <f>INDEX(PipeData,MATCH($E7,PipeData_FromToId,0),COLUMN(PipeData_Length))</f>
        <v>100</v>
      </c>
      <c r="AV7" s="23">
        <f t="shared" si="20"/>
        <v>351.20302847434652</v>
      </c>
      <c r="AW7" s="24">
        <f t="shared" si="21"/>
        <v>7.3245991849600858E-2</v>
      </c>
      <c r="AX7" s="54">
        <v>104.2</v>
      </c>
      <c r="AY7" s="55">
        <f t="shared" si="0"/>
        <v>101.74999999999997</v>
      </c>
      <c r="AZ7" s="55">
        <f t="shared" si="1"/>
        <v>101.14039999999997</v>
      </c>
      <c r="BA7" s="56">
        <f t="shared" si="2"/>
        <v>2.4500000000000313</v>
      </c>
      <c r="BB7" s="57">
        <f>INDEX(Design,MATCH(I7,Design_From,0),COLUMN(Design_StartCenterlin))</f>
        <v>104.6</v>
      </c>
      <c r="BC7" s="59"/>
      <c r="BD7" s="55">
        <f t="shared" si="3"/>
        <v>101.39999999999998</v>
      </c>
      <c r="BE7" s="55">
        <f t="shared" si="4"/>
        <v>100.79039999999998</v>
      </c>
      <c r="BF7" s="56">
        <f t="shared" si="5"/>
        <v>3.2000000000000171</v>
      </c>
    </row>
    <row r="8" spans="5:58" x14ac:dyDescent="0.3">
      <c r="E8" s="37" t="str">
        <f t="shared" si="6"/>
        <v>Ex.510-180</v>
      </c>
      <c r="G8" s="25" t="s">
        <v>50</v>
      </c>
      <c r="H8" s="33" t="s">
        <v>49</v>
      </c>
      <c r="I8" s="34">
        <v>180</v>
      </c>
      <c r="J8" s="50"/>
      <c r="K8" s="51"/>
      <c r="L8" s="52">
        <v>0.13</v>
      </c>
      <c r="M8" s="50"/>
      <c r="N8" s="51"/>
      <c r="O8" s="52"/>
      <c r="P8" s="50"/>
      <c r="Q8" s="51"/>
      <c r="R8" s="52"/>
      <c r="S8" s="28">
        <f t="shared" ref="S8:S11" si="22">SUM(J8:L8)</f>
        <v>0.13</v>
      </c>
      <c r="T8" s="29">
        <f t="shared" ref="T8:T11" si="23">SUM(M8:O8)</f>
        <v>0</v>
      </c>
      <c r="U8" s="30">
        <f t="shared" ref="U8:U11" si="24">SUM(P8:R8)</f>
        <v>0</v>
      </c>
      <c r="V8" s="28">
        <f t="shared" ref="V8:V11" si="25">SUM(S8:U8)</f>
        <v>0.13</v>
      </c>
      <c r="W8" s="29">
        <f>SUMIF(I$3:I7,H8,W$3:W7)+V8</f>
        <v>1.4300000000000002</v>
      </c>
      <c r="X8" s="29">
        <f t="array" ref="X8">MAX(--(I$3:I7=H8)*Z$3:Z7,10)</f>
        <v>14.974017900138108</v>
      </c>
      <c r="Y8" s="29">
        <f t="shared" si="7"/>
        <v>1.2435044750345274</v>
      </c>
      <c r="Z8" s="27">
        <f t="shared" si="8"/>
        <v>16.217522375172635</v>
      </c>
      <c r="AA8" s="43">
        <f>SUMPRODUCT(J8:L8,$J$2:$L$2)*2.78</f>
        <v>0.23491000000000001</v>
      </c>
      <c r="AB8" s="29">
        <f>SUMIF($I$3:$I7,$H8,AB$3:AB7)+AA8</f>
        <v>2.1878599999999997</v>
      </c>
      <c r="AC8" s="29">
        <f>732.951/(X8+6.199)^0.81</f>
        <v>61.828812060009042</v>
      </c>
      <c r="AD8" s="38">
        <f t="shared" si="9"/>
        <v>135.27278475361138</v>
      </c>
      <c r="AE8" s="26">
        <f t="shared" si="10"/>
        <v>0</v>
      </c>
      <c r="AF8" s="29">
        <f>SUMIF($I$3:$I7,$H8,AF$3:AF7)+AE8</f>
        <v>0.16123999999999997</v>
      </c>
      <c r="AG8" s="23">
        <f t="shared" si="11"/>
        <v>83.641228265533897</v>
      </c>
      <c r="AH8" s="35">
        <f t="shared" si="12"/>
        <v>13.486311645534682</v>
      </c>
      <c r="AI8" s="26">
        <f t="shared" si="13"/>
        <v>0</v>
      </c>
      <c r="AJ8" s="29">
        <f>SUMIF($I$3:$I7,$H8,AJ$3:AJ7)+AI8</f>
        <v>0</v>
      </c>
      <c r="AK8" s="23">
        <f t="shared" si="14"/>
        <v>97.950684350592738</v>
      </c>
      <c r="AL8" s="35">
        <f t="shared" si="15"/>
        <v>0</v>
      </c>
      <c r="AM8" s="46">
        <f t="shared" si="16"/>
        <v>148.75909639914605</v>
      </c>
      <c r="AN8" s="22">
        <f>INDEX(PipeData,MATCH($E8,PipeData_FromToId,0),COLUMN(PipeData_InnerDiameter))</f>
        <v>600</v>
      </c>
      <c r="AO8" s="21"/>
      <c r="AP8" s="21"/>
      <c r="AQ8" s="21">
        <f t="shared" si="17"/>
        <v>609.59999999999991</v>
      </c>
      <c r="AR8" s="63">
        <v>3.5000000000000001E-3</v>
      </c>
      <c r="AS8" s="23">
        <f t="shared" si="18"/>
        <v>378.96035559130939</v>
      </c>
      <c r="AT8" s="21">
        <f t="shared" si="19"/>
        <v>1.3402980850715391</v>
      </c>
      <c r="AU8" s="21">
        <f>INDEX(PipeData,MATCH($E8,PipeData_FromToId,0),COLUMN(PipeData_Length))</f>
        <v>100</v>
      </c>
      <c r="AV8" s="23">
        <f t="shared" si="20"/>
        <v>230.20125919216335</v>
      </c>
      <c r="AW8" s="24">
        <f t="shared" si="21"/>
        <v>0.39254527341528994</v>
      </c>
      <c r="AX8" s="54">
        <v>104.6</v>
      </c>
      <c r="AY8" s="55">
        <f t="shared" si="0"/>
        <v>101.39999999999998</v>
      </c>
      <c r="AZ8" s="55">
        <f t="shared" si="1"/>
        <v>100.79039999999998</v>
      </c>
      <c r="BA8" s="56">
        <f t="shared" si="2"/>
        <v>3.2000000000000171</v>
      </c>
      <c r="BB8" s="57">
        <f>INDEX(Design,MATCH(I8,Design_From,0),COLUMN(Design_StartCenterlin))</f>
        <v>102</v>
      </c>
      <c r="BC8" s="59"/>
      <c r="BD8" s="55">
        <f t="shared" si="3"/>
        <v>101.04999999999998</v>
      </c>
      <c r="BE8" s="55">
        <f t="shared" si="4"/>
        <v>100.44039999999998</v>
      </c>
      <c r="BF8" s="56">
        <f t="shared" si="5"/>
        <v>0.95000000000001705</v>
      </c>
    </row>
    <row r="9" spans="5:58" x14ac:dyDescent="0.3">
      <c r="E9" s="37" t="str">
        <f t="shared" si="6"/>
        <v>127-128</v>
      </c>
      <c r="G9" s="25" t="s">
        <v>52</v>
      </c>
      <c r="H9" s="33">
        <v>127</v>
      </c>
      <c r="I9" s="34">
        <v>128</v>
      </c>
      <c r="J9" s="50">
        <v>0.3</v>
      </c>
      <c r="K9" s="51"/>
      <c r="L9" s="52">
        <v>0.15</v>
      </c>
      <c r="M9" s="50"/>
      <c r="N9" s="51"/>
      <c r="O9" s="52"/>
      <c r="P9" s="50"/>
      <c r="Q9" s="51"/>
      <c r="R9" s="52"/>
      <c r="S9" s="28">
        <f t="shared" si="22"/>
        <v>0.44999999999999996</v>
      </c>
      <c r="T9" s="29">
        <f t="shared" si="23"/>
        <v>0</v>
      </c>
      <c r="U9" s="30">
        <f t="shared" si="24"/>
        <v>0</v>
      </c>
      <c r="V9" s="28">
        <f t="shared" si="25"/>
        <v>0.44999999999999996</v>
      </c>
      <c r="W9" s="29">
        <f>SUMIF(I$3:I8,H9,W$3:W8)+V9</f>
        <v>0.44999999999999996</v>
      </c>
      <c r="X9" s="29">
        <f t="array" ref="X9">MAX(--(I$3:I8=H9)*Z$3:Z8,10)</f>
        <v>10</v>
      </c>
      <c r="Y9" s="29">
        <f t="shared" si="7"/>
        <v>1.2435044750345274</v>
      </c>
      <c r="Z9" s="27">
        <f t="shared" si="8"/>
        <v>11.243504475034527</v>
      </c>
      <c r="AA9" s="43">
        <f>SUMPRODUCT(J9:L9,$J$2:$L$2)*2.78</f>
        <v>0.74642999999999982</v>
      </c>
      <c r="AB9" s="29">
        <f>SUMIF($I$3:$I8,$H9,AB$3:AB8)+AA9</f>
        <v>0.74642999999999982</v>
      </c>
      <c r="AC9" s="29">
        <f>732.951/(X9+6.199)^0.81</f>
        <v>76.805000323638325</v>
      </c>
      <c r="AD9" s="38">
        <f t="shared" si="9"/>
        <v>57.329556391573341</v>
      </c>
      <c r="AE9" s="26">
        <f t="shared" si="10"/>
        <v>0</v>
      </c>
      <c r="AF9" s="29">
        <f>SUMIF($I$3:$I8,$H9,AF$3:AF8)+AE9</f>
        <v>0</v>
      </c>
      <c r="AG9" s="23">
        <f t="shared" si="11"/>
        <v>104.1930342415708</v>
      </c>
      <c r="AH9" s="35">
        <f t="shared" si="12"/>
        <v>0</v>
      </c>
      <c r="AI9" s="26">
        <f t="shared" si="13"/>
        <v>0</v>
      </c>
      <c r="AJ9" s="29">
        <f>SUMIF($I$3:$I8,$H9,AJ$3:AJ8)+AI9</f>
        <v>0</v>
      </c>
      <c r="AK9" s="23">
        <f t="shared" si="14"/>
        <v>122.1417959950312</v>
      </c>
      <c r="AL9" s="35">
        <f t="shared" si="15"/>
        <v>0</v>
      </c>
      <c r="AM9" s="46">
        <f t="shared" si="16"/>
        <v>57.329556391573341</v>
      </c>
      <c r="AN9" s="22">
        <f>INDEX(PipeData,MATCH($E9,PipeData_FromToId,0),COLUMN(PipeData_InnerDiameter))</f>
        <v>600</v>
      </c>
      <c r="AO9" s="21"/>
      <c r="AP9" s="21"/>
      <c r="AQ9" s="21">
        <f t="shared" si="17"/>
        <v>609.59999999999991</v>
      </c>
      <c r="AR9" s="63">
        <v>3.5000000000000001E-3</v>
      </c>
      <c r="AS9" s="23">
        <f t="shared" si="18"/>
        <v>378.96035559130939</v>
      </c>
      <c r="AT9" s="21">
        <f t="shared" si="19"/>
        <v>1.3402980850715391</v>
      </c>
      <c r="AU9" s="21">
        <f>INDEX(PipeData,MATCH($E9,PipeData_FromToId,0),COLUMN(PipeData_Length))</f>
        <v>100</v>
      </c>
      <c r="AV9" s="23">
        <f t="shared" si="20"/>
        <v>321.63079919973603</v>
      </c>
      <c r="AW9" s="24">
        <f t="shared" si="21"/>
        <v>0.15128114470475251</v>
      </c>
      <c r="AX9" s="54">
        <v>104.2</v>
      </c>
      <c r="AY9" s="55">
        <f t="shared" si="0"/>
        <v>101.04999999999998</v>
      </c>
      <c r="AZ9" s="55">
        <f t="shared" si="1"/>
        <v>100.44039999999998</v>
      </c>
      <c r="BA9" s="56">
        <f t="shared" si="2"/>
        <v>3.1500000000000199</v>
      </c>
      <c r="BB9" s="57">
        <f>INDEX(Design,MATCH(I9,Design_From,0),COLUMN(Design_StartCenterlin))</f>
        <v>104.2</v>
      </c>
      <c r="BC9" s="59"/>
      <c r="BD9" s="55">
        <f t="shared" si="3"/>
        <v>100.69999999999999</v>
      </c>
      <c r="BE9" s="55">
        <f t="shared" si="4"/>
        <v>100.09039999999999</v>
      </c>
      <c r="BF9" s="56">
        <f t="shared" si="5"/>
        <v>3.5000000000000142</v>
      </c>
    </row>
    <row r="10" spans="5:58" x14ac:dyDescent="0.3">
      <c r="E10" s="37" t="str">
        <f t="shared" si="6"/>
        <v>128-180</v>
      </c>
      <c r="G10" s="25" t="s">
        <v>52</v>
      </c>
      <c r="H10" s="33">
        <v>128</v>
      </c>
      <c r="I10" s="34">
        <v>180</v>
      </c>
      <c r="J10" s="50"/>
      <c r="K10" s="51"/>
      <c r="L10" s="52">
        <v>0.15</v>
      </c>
      <c r="M10" s="50"/>
      <c r="N10" s="51"/>
      <c r="O10" s="52"/>
      <c r="P10" s="50"/>
      <c r="Q10" s="51"/>
      <c r="R10" s="52"/>
      <c r="S10" s="28">
        <f t="shared" si="22"/>
        <v>0.15</v>
      </c>
      <c r="T10" s="29">
        <f t="shared" si="23"/>
        <v>0</v>
      </c>
      <c r="U10" s="30">
        <f t="shared" si="24"/>
        <v>0</v>
      </c>
      <c r="V10" s="28">
        <f t="shared" si="25"/>
        <v>0.15</v>
      </c>
      <c r="W10" s="29">
        <f>SUMIF(I$3:I9,H10,W$3:W9)+V10</f>
        <v>0.6</v>
      </c>
      <c r="X10" s="29">
        <f t="array" ref="X10">MAX(--(I$3:I9=H10)*Z$3:Z9,10)</f>
        <v>11.243504475034527</v>
      </c>
      <c r="Y10" s="29">
        <f t="shared" si="7"/>
        <v>1.2435044750345274</v>
      </c>
      <c r="Z10" s="27">
        <f t="shared" si="8"/>
        <v>12.487008950069054</v>
      </c>
      <c r="AA10" s="43">
        <f>SUMPRODUCT(J10:L10,$J$2:$L$2)*2.78</f>
        <v>0.27105000000000001</v>
      </c>
      <c r="AB10" s="29">
        <f>SUMIF($I$3:$I9,$H10,AB$3:AB9)+AA10</f>
        <v>1.0174799999999999</v>
      </c>
      <c r="AC10" s="29">
        <f>732.951/(X10+6.199)^0.81</f>
        <v>72.338879730776341</v>
      </c>
      <c r="AD10" s="38">
        <f t="shared" si="9"/>
        <v>73.60336334847031</v>
      </c>
      <c r="AE10" s="26">
        <f t="shared" si="10"/>
        <v>0</v>
      </c>
      <c r="AF10" s="29">
        <f>SUMIF($I$3:$I9,$H10,AF$3:AF9)+AE10</f>
        <v>0</v>
      </c>
      <c r="AG10" s="23">
        <f t="shared" si="11"/>
        <v>98.053555292635309</v>
      </c>
      <c r="AH10" s="35">
        <f t="shared" si="12"/>
        <v>0</v>
      </c>
      <c r="AI10" s="26">
        <f t="shared" si="13"/>
        <v>0</v>
      </c>
      <c r="AJ10" s="29">
        <f>SUMIF($I$3:$I9,$H10,AJ$3:AJ9)+AI10</f>
        <v>0</v>
      </c>
      <c r="AK10" s="23">
        <f t="shared" si="14"/>
        <v>114.91113506250787</v>
      </c>
      <c r="AL10" s="35">
        <f t="shared" si="15"/>
        <v>0</v>
      </c>
      <c r="AM10" s="46">
        <f t="shared" si="16"/>
        <v>73.60336334847031</v>
      </c>
      <c r="AN10" s="22">
        <f>INDEX(PipeData,MATCH($E10,PipeData_FromToId,0),COLUMN(PipeData_InnerDiameter))</f>
        <v>600</v>
      </c>
      <c r="AO10" s="21"/>
      <c r="AP10" s="21"/>
      <c r="AQ10" s="21">
        <f t="shared" si="17"/>
        <v>609.59999999999991</v>
      </c>
      <c r="AR10" s="63">
        <v>3.5000000000000001E-3</v>
      </c>
      <c r="AS10" s="23">
        <f t="shared" si="18"/>
        <v>378.96035559130939</v>
      </c>
      <c r="AT10" s="21">
        <f t="shared" si="19"/>
        <v>1.3402980850715391</v>
      </c>
      <c r="AU10" s="21">
        <f>INDEX(PipeData,MATCH($E10,PipeData_FromToId,0),COLUMN(PipeData_Length))</f>
        <v>100</v>
      </c>
      <c r="AV10" s="23">
        <f t="shared" si="20"/>
        <v>305.35699224283906</v>
      </c>
      <c r="AW10" s="24">
        <f t="shared" si="21"/>
        <v>0.19422444132348243</v>
      </c>
      <c r="AX10" s="54">
        <v>104.2</v>
      </c>
      <c r="AY10" s="55">
        <f t="shared" si="0"/>
        <v>100.69999999999999</v>
      </c>
      <c r="AZ10" s="55">
        <f t="shared" si="1"/>
        <v>100.09039999999999</v>
      </c>
      <c r="BA10" s="56">
        <f t="shared" si="2"/>
        <v>3.5000000000000142</v>
      </c>
      <c r="BB10" s="57">
        <f>INDEX(Design,MATCH(I10,Design_From,0),COLUMN(Design_StartCenterlin))</f>
        <v>102</v>
      </c>
      <c r="BC10" s="59"/>
      <c r="BD10" s="55">
        <f>AY11+BC10</f>
        <v>100.35</v>
      </c>
      <c r="BE10" s="55">
        <f>BD10-AQ10/1000</f>
        <v>99.740399999999994</v>
      </c>
      <c r="BF10" s="56">
        <f>BB10-BD10</f>
        <v>1.6500000000000057</v>
      </c>
    </row>
    <row r="11" spans="5:58" x14ac:dyDescent="0.3">
      <c r="E11" s="37" t="str">
        <f t="shared" si="6"/>
        <v>180-122B</v>
      </c>
      <c r="G11" s="25" t="s">
        <v>50</v>
      </c>
      <c r="H11" s="33">
        <v>180</v>
      </c>
      <c r="I11" s="34" t="s">
        <v>53</v>
      </c>
      <c r="J11" s="50">
        <v>0.2</v>
      </c>
      <c r="K11" s="51"/>
      <c r="L11" s="52">
        <v>0.25</v>
      </c>
      <c r="M11" s="50"/>
      <c r="N11" s="51"/>
      <c r="O11" s="52"/>
      <c r="P11" s="50"/>
      <c r="Q11" s="51"/>
      <c r="R11" s="52"/>
      <c r="S11" s="28">
        <f t="shared" si="22"/>
        <v>0.45</v>
      </c>
      <c r="T11" s="29">
        <f t="shared" si="23"/>
        <v>0</v>
      </c>
      <c r="U11" s="30">
        <f t="shared" si="24"/>
        <v>0</v>
      </c>
      <c r="V11" s="28">
        <f t="shared" si="25"/>
        <v>0.45</v>
      </c>
      <c r="W11" s="29">
        <f>SUMIF(I$3:I10,H11,W$3:W10)+V11</f>
        <v>2.4800000000000004</v>
      </c>
      <c r="X11" s="29">
        <f t="array" ref="X11">MAX(--(I$3:I10=H11)*Z$3:Z10,10)</f>
        <v>16.217522375172635</v>
      </c>
      <c r="Y11" s="29">
        <f t="shared" si="7"/>
        <v>1.2435044750345274</v>
      </c>
      <c r="Z11" s="27">
        <f t="shared" si="8"/>
        <v>17.461026850207162</v>
      </c>
      <c r="AA11" s="43">
        <f>SUMPRODUCT(J11:L11,$J$2:$L$2)*2.78</f>
        <v>0.76866999999999985</v>
      </c>
      <c r="AB11" s="29">
        <f>SUMIF($I$3:$I10,$H11,AB$3:AB10)+AA11</f>
        <v>3.9740099999999994</v>
      </c>
      <c r="AC11" s="29">
        <f>732.951/(X11+6.199)^0.81</f>
        <v>59.035693393603133</v>
      </c>
      <c r="AD11" s="38">
        <f t="shared" si="9"/>
        <v>234.60843590311273</v>
      </c>
      <c r="AE11" s="26">
        <f t="shared" si="10"/>
        <v>0</v>
      </c>
      <c r="AF11" s="29">
        <f>SUMIF($I$3:$I10,$H11,AF$3:AF10)+AE11</f>
        <v>0.16123999999999997</v>
      </c>
      <c r="AG11" s="23">
        <f t="shared" si="11"/>
        <v>79.819478885995849</v>
      </c>
      <c r="AH11" s="35">
        <f t="shared" si="12"/>
        <v>12.870092775577968</v>
      </c>
      <c r="AI11" s="26">
        <f t="shared" si="13"/>
        <v>0</v>
      </c>
      <c r="AJ11" s="29">
        <f>SUMIF($I$3:$I10,$H11,AJ$3:AJ10)+AI11</f>
        <v>0</v>
      </c>
      <c r="AK11" s="23">
        <f t="shared" si="14"/>
        <v>93.456451745696413</v>
      </c>
      <c r="AL11" s="35">
        <f t="shared" si="15"/>
        <v>0</v>
      </c>
      <c r="AM11" s="46">
        <f t="shared" si="16"/>
        <v>247.47852867869071</v>
      </c>
      <c r="AN11" s="22">
        <f>INDEX(PipeData,MATCH($E11,PipeData_FromToId,0),COLUMN(PipeData_InnerDiameter))</f>
        <v>600</v>
      </c>
      <c r="AO11" s="21"/>
      <c r="AP11" s="21"/>
      <c r="AQ11" s="21">
        <f t="shared" si="17"/>
        <v>609.59999999999991</v>
      </c>
      <c r="AR11" s="63">
        <v>3.5000000000000001E-3</v>
      </c>
      <c r="AS11" s="23">
        <f t="shared" si="18"/>
        <v>378.96035559130939</v>
      </c>
      <c r="AT11" s="21">
        <f t="shared" si="19"/>
        <v>1.3402980850715391</v>
      </c>
      <c r="AU11" s="21">
        <f>INDEX(PipeData,MATCH($E11,PipeData_FromToId,0),COLUMN(PipeData_Length))</f>
        <v>100</v>
      </c>
      <c r="AV11" s="23">
        <f t="shared" si="20"/>
        <v>131.48182691261869</v>
      </c>
      <c r="AW11" s="24">
        <f t="shared" si="21"/>
        <v>0.65304595857405323</v>
      </c>
      <c r="AX11" s="54">
        <v>102</v>
      </c>
      <c r="AY11" s="55">
        <f>AZ11+AQ11/1000</f>
        <v>100.35</v>
      </c>
      <c r="AZ11" s="55">
        <f>BE11+AU11*AR11</f>
        <v>99.740399999999994</v>
      </c>
      <c r="BA11" s="56">
        <f>AX11-AY11</f>
        <v>1.6500000000000057</v>
      </c>
      <c r="BB11" s="57">
        <v>101.2</v>
      </c>
      <c r="BC11" s="59"/>
      <c r="BD11" s="62">
        <f>100+BC11</f>
        <v>100</v>
      </c>
      <c r="BE11" s="55">
        <f>BD11-AQ11/1000</f>
        <v>99.3904</v>
      </c>
      <c r="BF11" s="56">
        <f>BB11-BD11</f>
        <v>1.2000000000000028</v>
      </c>
    </row>
  </sheetData>
  <mergeCells count="18"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  <mergeCell ref="AX1:BA1"/>
    <mergeCell ref="BB1:BF1"/>
    <mergeCell ref="AE1:AH1"/>
    <mergeCell ref="AI1:AL1"/>
    <mergeCell ref="AM1:AM2"/>
    <mergeCell ref="AN1:AW1"/>
  </mergeCells>
  <phoneticPr fontId="5" type="noConversion"/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D13" sqref="D13"/>
    </sheetView>
  </sheetViews>
  <sheetFormatPr defaultColWidth="14.88671875" defaultRowHeight="13.8" x14ac:dyDescent="0.25"/>
  <cols>
    <col min="1" max="16384" width="14.88671875" style="5"/>
  </cols>
  <sheetData>
    <row r="1" spans="1:9" s="4" customFormat="1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5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>_xlfn.IFNA(INDEX(Design,MATCH(D2,Design_FromToId,0),COLUMN(Design_Slope)),"NOTFOUND")</f>
        <v>3.5000000000000001E-3</v>
      </c>
      <c r="G2" s="5">
        <v>600</v>
      </c>
      <c r="H2" s="7">
        <f>_xlfn.IFNA(INDEX(Design, MATCH(D2,Design_FromToId,0),COLUMN(Design_StartInv)),"NOTFOUND")</f>
        <v>102.54039999999995</v>
      </c>
      <c r="I2" s="7">
        <f>_xlfn.IFNA(INDEX(Design, MATCH(D2,Design_FromToId,0),COLUMN(Design_EndInv)),"NOTFOUND")</f>
        <v>102.19039999999995</v>
      </c>
    </row>
    <row r="3" spans="1:9" x14ac:dyDescent="0.25">
      <c r="A3" s="5" t="s">
        <v>44</v>
      </c>
      <c r="B3" s="5">
        <v>192</v>
      </c>
      <c r="C3" s="5">
        <v>193</v>
      </c>
      <c r="D3" s="5" t="str">
        <f t="shared" ref="D3" si="0">_xlfn.CONCAT(B3,"-",C3)</f>
        <v>192-193</v>
      </c>
      <c r="E3" s="5">
        <v>100</v>
      </c>
      <c r="F3" s="6">
        <f>_xlfn.IFNA(INDEX(Design,MATCH(D3,Design_FromToId,0),COLUMN(Design_Slope)),"NOTFOUND")</f>
        <v>3.5000000000000001E-3</v>
      </c>
      <c r="G3" s="5">
        <v>600</v>
      </c>
      <c r="H3" s="7">
        <f>_xlfn.IFNA(INDEX(Design, MATCH(D3,Design_FromToId,0),COLUMN(Design_StartInv)),"NOTFOUND")</f>
        <v>102.19039999999995</v>
      </c>
      <c r="I3" s="7">
        <f>_xlfn.IFNA(INDEX(Design, MATCH(D3,Design_FromToId,0),COLUMN(Design_EndInv)),"NOTFOUND")</f>
        <v>101.84039999999996</v>
      </c>
    </row>
    <row r="4" spans="1:9" x14ac:dyDescent="0.25">
      <c r="A4" s="5" t="s">
        <v>44</v>
      </c>
      <c r="B4" s="5">
        <v>193</v>
      </c>
      <c r="C4" s="5">
        <v>194</v>
      </c>
      <c r="D4" s="5" t="str">
        <f t="shared" ref="D4" si="1">_xlfn.CONCAT(B4,"-",C4)</f>
        <v>193-194</v>
      </c>
      <c r="E4" s="5">
        <v>100</v>
      </c>
      <c r="F4" s="6">
        <f>_xlfn.IFNA(INDEX(Design,MATCH(D4,Design_FromToId,0),COLUMN(Design_Slope)),"NOTFOUND")</f>
        <v>3.5000000000000001E-3</v>
      </c>
      <c r="G4" s="5">
        <v>600</v>
      </c>
      <c r="H4" s="7">
        <f>_xlfn.IFNA(INDEX(Design, MATCH(D4,Design_FromToId,0),COLUMN(Design_StartInv)),"NOTFOUND")</f>
        <v>101.84039999999996</v>
      </c>
      <c r="I4" s="7">
        <f>_xlfn.IFNA(INDEX(Design, MATCH(D4,Design_FromToId,0),COLUMN(Design_EndInv)),"NOTFOUND")</f>
        <v>101.49039999999997</v>
      </c>
    </row>
    <row r="5" spans="1:9" x14ac:dyDescent="0.25">
      <c r="A5" s="5" t="s">
        <v>44</v>
      </c>
      <c r="B5" s="5">
        <v>194</v>
      </c>
      <c r="C5" s="5" t="s">
        <v>49</v>
      </c>
      <c r="D5" s="5" t="str">
        <f t="shared" ref="D5" si="2">_xlfn.CONCAT(B5,"-",C5)</f>
        <v>194-Ex.510</v>
      </c>
      <c r="E5" s="5">
        <v>100</v>
      </c>
      <c r="F5" s="6">
        <f>_xlfn.IFNA(INDEX(Design,MATCH(D5,Design_FromToId,0),COLUMN(Design_Slope)),"NOTFOUND")</f>
        <v>3.5000000000000001E-3</v>
      </c>
      <c r="G5" s="5">
        <v>600</v>
      </c>
      <c r="H5" s="7">
        <f>_xlfn.IFNA(INDEX(Design, MATCH(D5,Design_FromToId,0),COLUMN(Design_StartInv)),"NOTFOUND")</f>
        <v>101.49039999999997</v>
      </c>
      <c r="I5" s="7">
        <f>_xlfn.IFNA(INDEX(Design, MATCH(D5,Design_FromToId,0),COLUMN(Design_EndInv)),"NOTFOUND")</f>
        <v>101.14039999999997</v>
      </c>
    </row>
    <row r="6" spans="1:9" x14ac:dyDescent="0.25">
      <c r="A6" s="5" t="s">
        <v>44</v>
      </c>
      <c r="B6" s="5" t="s">
        <v>51</v>
      </c>
      <c r="C6" s="5" t="s">
        <v>49</v>
      </c>
      <c r="D6" s="5" t="str">
        <f t="shared" ref="D6" si="3">_xlfn.CONCAT(B6,"-",C6)</f>
        <v>Ex.509-Ex.510</v>
      </c>
      <c r="E6" s="5">
        <v>100</v>
      </c>
      <c r="F6" s="6">
        <f>_xlfn.IFNA(INDEX(Design,MATCH(D6,Design_FromToId,0),COLUMN(Design_Slope)),"NOTFOUND")</f>
        <v>3.5000000000000001E-3</v>
      </c>
      <c r="G6" s="5">
        <v>600</v>
      </c>
      <c r="H6" s="7">
        <f>_xlfn.IFNA(INDEX(Design, MATCH(D6,Design_FromToId,0),COLUMN(Design_StartInv)),"NOTFOUND")</f>
        <v>101.14039999999997</v>
      </c>
      <c r="I6" s="7">
        <f>_xlfn.IFNA(INDEX(Design, MATCH(D6,Design_FromToId,0),COLUMN(Design_EndInv)),"NOTFOUND")</f>
        <v>100.79039999999998</v>
      </c>
    </row>
    <row r="7" spans="1:9" x14ac:dyDescent="0.25">
      <c r="A7" s="5" t="s">
        <v>44</v>
      </c>
      <c r="B7" s="5" t="s">
        <v>49</v>
      </c>
      <c r="C7" s="5">
        <v>180</v>
      </c>
      <c r="D7" s="5" t="str">
        <f t="shared" ref="D7" si="4">_xlfn.CONCAT(B7,"-",C7)</f>
        <v>Ex.510-180</v>
      </c>
      <c r="E7" s="5">
        <v>100</v>
      </c>
      <c r="F7" s="6">
        <f>_xlfn.IFNA(INDEX(Design,MATCH(D7,Design_FromToId,0),COLUMN(Design_Slope)),"NOTFOUND")</f>
        <v>3.5000000000000001E-3</v>
      </c>
      <c r="G7" s="5">
        <v>600</v>
      </c>
      <c r="H7" s="7">
        <f>_xlfn.IFNA(INDEX(Design, MATCH(D7,Design_FromToId,0),COLUMN(Design_StartInv)),"NOTFOUND")</f>
        <v>100.79039999999998</v>
      </c>
      <c r="I7" s="7">
        <f>_xlfn.IFNA(INDEX(Design, MATCH(D7,Design_FromToId,0),COLUMN(Design_EndInv)),"NOTFOUND")</f>
        <v>100.44039999999998</v>
      </c>
    </row>
    <row r="8" spans="1:9" x14ac:dyDescent="0.25">
      <c r="A8" s="5" t="s">
        <v>44</v>
      </c>
      <c r="B8" s="5">
        <v>127</v>
      </c>
      <c r="C8" s="5">
        <v>128</v>
      </c>
      <c r="D8" s="5" t="str">
        <f t="shared" ref="D8" si="5">_xlfn.CONCAT(B8,"-",C8)</f>
        <v>127-128</v>
      </c>
      <c r="E8" s="5">
        <v>100</v>
      </c>
      <c r="F8" s="6">
        <f>_xlfn.IFNA(INDEX(Design,MATCH(D8,Design_FromToId,0),COLUMN(Design_Slope)),"NOTFOUND")</f>
        <v>3.5000000000000001E-3</v>
      </c>
      <c r="G8" s="5">
        <v>600</v>
      </c>
      <c r="H8" s="7">
        <f>_xlfn.IFNA(INDEX(Design, MATCH(D8,Design_FromToId,0),COLUMN(Design_StartInv)),"NOTFOUND")</f>
        <v>100.44039999999998</v>
      </c>
      <c r="I8" s="7">
        <f>_xlfn.IFNA(INDEX(Design, MATCH(D8,Design_FromToId,0),COLUMN(Design_EndInv)),"NOTFOUND")</f>
        <v>100.09039999999999</v>
      </c>
    </row>
    <row r="9" spans="1:9" x14ac:dyDescent="0.25">
      <c r="A9" s="5" t="s">
        <v>44</v>
      </c>
      <c r="B9" s="5">
        <v>128</v>
      </c>
      <c r="C9" s="5">
        <v>180</v>
      </c>
      <c r="D9" s="5" t="str">
        <f t="shared" ref="D9" si="6">_xlfn.CONCAT(B9,"-",C9)</f>
        <v>128-180</v>
      </c>
      <c r="E9" s="5">
        <v>100</v>
      </c>
      <c r="F9" s="6">
        <f>_xlfn.IFNA(INDEX(Design,MATCH(D9,Design_FromToId,0),COLUMN(Design_Slope)),"NOTFOUND")</f>
        <v>3.5000000000000001E-3</v>
      </c>
      <c r="G9" s="5">
        <v>600</v>
      </c>
      <c r="H9" s="7">
        <f>_xlfn.IFNA(INDEX(Design, MATCH(D9,Design_FromToId,0),COLUMN(Design_StartInv)),"NOTFOUND")</f>
        <v>100.09039999999999</v>
      </c>
      <c r="I9" s="7">
        <f>_xlfn.IFNA(INDEX(Design, MATCH(D9,Design_FromToId,0),COLUMN(Design_EndInv)),"NOTFOUND")</f>
        <v>99.740399999999994</v>
      </c>
    </row>
    <row r="10" spans="1:9" x14ac:dyDescent="0.25">
      <c r="A10" s="5" t="s">
        <v>44</v>
      </c>
      <c r="B10" s="5">
        <v>180</v>
      </c>
      <c r="C10" s="5" t="s">
        <v>53</v>
      </c>
      <c r="D10" s="5" t="str">
        <f t="shared" ref="D10:D73" si="7">_xlfn.CONCAT(B10,"-",C10)</f>
        <v>180-122B</v>
      </c>
      <c r="E10" s="5">
        <v>100</v>
      </c>
      <c r="F10" s="6">
        <f>_xlfn.IFNA(INDEX(Design,MATCH(D10,Design_FromToId,0),COLUMN(Design_Slope)),"NOTFOUND")</f>
        <v>3.5000000000000001E-3</v>
      </c>
      <c r="G10" s="5">
        <v>600</v>
      </c>
      <c r="H10" s="7">
        <f>_xlfn.IFNA(INDEX(Design, MATCH(D10,Design_FromToId,0),COLUMN(Design_StartInv)),"NOTFOUND")</f>
        <v>99.740399999999994</v>
      </c>
      <c r="I10" s="7">
        <f>_xlfn.IFNA(INDEX(Design, MATCH(D10,Design_FromToId,0),COLUMN(Design_EndInv)),"NOTFOUND")</f>
        <v>99.3904</v>
      </c>
    </row>
    <row r="11" spans="1:9" x14ac:dyDescent="0.25">
      <c r="D11" s="5" t="str">
        <f t="shared" si="7"/>
        <v>-</v>
      </c>
      <c r="F11" s="6" t="str">
        <f>_xlfn.IFNA(INDEX(Design,MATCH(D11,Design_FromToId,0),COLUMN(Design_Slope)),"NOTFOUND")</f>
        <v>NOTFOUND</v>
      </c>
      <c r="H11" s="7" t="str">
        <f>_xlfn.IFNA(INDEX(Design, MATCH(D11,Design_FromToId,0),COLUMN(Design_StartInv)),"NOTFOUND")</f>
        <v>NOTFOUND</v>
      </c>
      <c r="I11" s="7" t="str">
        <f>_xlfn.IFNA(INDEX(Design, MATCH(D11,Design_FromToId,0),COLUMN(Design_EndInv)),"NOTFOUND")</f>
        <v>NOTFOUND</v>
      </c>
    </row>
    <row r="12" spans="1:9" x14ac:dyDescent="0.25">
      <c r="D12" s="5" t="str">
        <f t="shared" si="7"/>
        <v>-</v>
      </c>
      <c r="F12" s="6" t="str">
        <f>_xlfn.IFNA(INDEX(Design,MATCH(D12,Design_FromToId,0),COLUMN(Design_Slope)),"NOTFOUND")</f>
        <v>NOTFOUND</v>
      </c>
      <c r="H12" s="7" t="str">
        <f>_xlfn.IFNA(INDEX(Design, MATCH(D12,Design_FromToId,0),COLUMN(Design_StartInv)),"NOTFOUND")</f>
        <v>NOTFOUND</v>
      </c>
      <c r="I12" s="7" t="str">
        <f>_xlfn.IFNA(INDEX(Design, MATCH(D12,Design_FromToId,0),COLUMN(Design_EndInv)),"NOTFOUND")</f>
        <v>NOTFOUND</v>
      </c>
    </row>
    <row r="13" spans="1:9" x14ac:dyDescent="0.25">
      <c r="D13" s="5" t="str">
        <f t="shared" si="7"/>
        <v>-</v>
      </c>
      <c r="F13" s="6" t="str">
        <f>_xlfn.IFNA(INDEX(Design,MATCH(D13,Design_FromToId,0),COLUMN(Design_Slope)),"NOTFOUND")</f>
        <v>NOTFOUND</v>
      </c>
      <c r="H13" s="7" t="str">
        <f>_xlfn.IFNA(INDEX(Design, MATCH(D13,Design_FromToId,0),COLUMN(Design_StartInv)),"NOTFOUND")</f>
        <v>NOTFOUND</v>
      </c>
      <c r="I13" s="7" t="str">
        <f>_xlfn.IFNA(INDEX(Design, MATCH(D13,Design_FromToId,0),COLUMN(Design_EndInv)),"NOTFOUND")</f>
        <v>NOTFOUND</v>
      </c>
    </row>
    <row r="14" spans="1:9" x14ac:dyDescent="0.25">
      <c r="D14" s="5" t="str">
        <f t="shared" si="7"/>
        <v>-</v>
      </c>
      <c r="F14" s="6" t="str">
        <f>_xlfn.IFNA(INDEX(Design,MATCH(D14,Design_FromToId,0),COLUMN(Design_Slope)),"NOTFOUND")</f>
        <v>NOTFOUND</v>
      </c>
      <c r="H14" s="7" t="str">
        <f>_xlfn.IFNA(INDEX(Design, MATCH(D14,Design_FromToId,0),COLUMN(Design_StartInv)),"NOTFOUND")</f>
        <v>NOTFOUND</v>
      </c>
      <c r="I14" s="7" t="str">
        <f>_xlfn.IFNA(INDEX(Design, MATCH(D14,Design_FromToId,0),COLUMN(Design_EndInv)),"NOTFOUND")</f>
        <v>NOTFOUND</v>
      </c>
    </row>
    <row r="15" spans="1:9" x14ac:dyDescent="0.25">
      <c r="D15" s="5" t="str">
        <f t="shared" si="7"/>
        <v>-</v>
      </c>
      <c r="F15" s="6" t="str">
        <f>_xlfn.IFNA(INDEX(Design,MATCH(D15,Design_FromToId,0),COLUMN(Design_Slope)),"NOTFOUND")</f>
        <v>NOTFOUND</v>
      </c>
      <c r="H15" s="7" t="str">
        <f>_xlfn.IFNA(INDEX(Design, MATCH(D15,Design_FromToId,0),COLUMN(Design_StartInv)),"NOTFOUND")</f>
        <v>NOTFOUND</v>
      </c>
      <c r="I15" s="7" t="str">
        <f>_xlfn.IFNA(INDEX(Design, MATCH(D15,Design_FromToId,0),COLUMN(Design_EndInv)),"NOTFOUND")</f>
        <v>NOTFOUND</v>
      </c>
    </row>
    <row r="16" spans="1:9" x14ac:dyDescent="0.25">
      <c r="D16" s="5" t="str">
        <f t="shared" si="7"/>
        <v>-</v>
      </c>
      <c r="F16" s="6" t="str">
        <f>_xlfn.IFNA(INDEX(Design,MATCH(D16,Design_FromToId,0),COLUMN(Design_Slope)),"NOTFOUND")</f>
        <v>NOTFOUND</v>
      </c>
      <c r="H16" s="7" t="str">
        <f>_xlfn.IFNA(INDEX(Design, MATCH(D16,Design_FromToId,0),COLUMN(Design_StartInv)),"NOTFOUND")</f>
        <v>NOTFOUND</v>
      </c>
      <c r="I16" s="7" t="str">
        <f>_xlfn.IFNA(INDEX(Design, MATCH(D16,Design_FromToId,0),COLUMN(Design_EndInv)),"NOTFOUND")</f>
        <v>NOTFOUND</v>
      </c>
    </row>
    <row r="17" spans="4:9" x14ac:dyDescent="0.25">
      <c r="D17" s="5" t="str">
        <f t="shared" si="7"/>
        <v>-</v>
      </c>
      <c r="F17" s="6" t="str">
        <f>_xlfn.IFNA(INDEX(Design,MATCH(D17,Design_FromToId,0),COLUMN(Design_Slope)),"NOTFOUND")</f>
        <v>NOTFOUND</v>
      </c>
      <c r="H17" s="7" t="str">
        <f>_xlfn.IFNA(INDEX(Design, MATCH(D17,Design_FromToId,0),COLUMN(Design_StartInv)),"NOTFOUND")</f>
        <v>NOTFOUND</v>
      </c>
      <c r="I17" s="7" t="str">
        <f>_xlfn.IFNA(INDEX(Design, MATCH(D17,Design_FromToId,0),COLUMN(Design_EndInv)),"NOTFOUND")</f>
        <v>NOTFOUND</v>
      </c>
    </row>
    <row r="18" spans="4:9" x14ac:dyDescent="0.25">
      <c r="D18" s="5" t="str">
        <f t="shared" si="7"/>
        <v>-</v>
      </c>
      <c r="F18" s="6" t="str">
        <f>_xlfn.IFNA(INDEX(Design,MATCH(D18,Design_FromToId,0),COLUMN(Design_Slope)),"NOTFOUND")</f>
        <v>NOTFOUND</v>
      </c>
      <c r="H18" s="7" t="str">
        <f>_xlfn.IFNA(INDEX(Design, MATCH(D18,Design_FromToId,0),COLUMN(Design_StartInv)),"NOTFOUND")</f>
        <v>NOTFOUND</v>
      </c>
      <c r="I18" s="7" t="str">
        <f>_xlfn.IFNA(INDEX(Design, MATCH(D18,Design_FromToId,0),COLUMN(Design_EndInv)),"NOTFOUND")</f>
        <v>NOTFOUND</v>
      </c>
    </row>
    <row r="19" spans="4:9" x14ac:dyDescent="0.25">
      <c r="D19" s="5" t="str">
        <f t="shared" si="7"/>
        <v>-</v>
      </c>
      <c r="F19" s="6" t="str">
        <f>_xlfn.IFNA(INDEX(Design,MATCH(D19,Design_FromToId,0),COLUMN(Design_Slope)),"NOTFOUND")</f>
        <v>NOTFOUND</v>
      </c>
      <c r="H19" s="7" t="str">
        <f>_xlfn.IFNA(INDEX(Design, MATCH(D19,Design_FromToId,0),COLUMN(Design_StartInv)),"NOTFOUND")</f>
        <v>NOTFOUND</v>
      </c>
      <c r="I19" s="7" t="str">
        <f>_xlfn.IFNA(INDEX(Design, MATCH(D19,Design_FromToId,0),COLUMN(Design_EndInv)),"NOTFOUND")</f>
        <v>NOTFOUND</v>
      </c>
    </row>
    <row r="20" spans="4:9" x14ac:dyDescent="0.25">
      <c r="D20" s="5" t="str">
        <f t="shared" si="7"/>
        <v>-</v>
      </c>
      <c r="F20" s="6" t="str">
        <f>_xlfn.IFNA(INDEX(Design,MATCH(D20,Design_FromToId,0),COLUMN(Design_Slope)),"NOTFOUND")</f>
        <v>NOTFOUND</v>
      </c>
      <c r="H20" s="7" t="str">
        <f>_xlfn.IFNA(INDEX(Design, MATCH(D20,Design_FromToId,0),COLUMN(Design_StartInv)),"NOTFOUND")</f>
        <v>NOTFOUND</v>
      </c>
      <c r="I20" s="7" t="str">
        <f>_xlfn.IFNA(INDEX(Design, MATCH(D20,Design_FromToId,0),COLUMN(Design_EndInv)),"NOTFOUND")</f>
        <v>NOTFOUND</v>
      </c>
    </row>
    <row r="21" spans="4:9" x14ac:dyDescent="0.25">
      <c r="D21" s="5" t="str">
        <f t="shared" si="7"/>
        <v>-</v>
      </c>
      <c r="F21" s="6" t="str">
        <f>_xlfn.IFNA(INDEX(Design,MATCH(D21,Design_FromToId,0),COLUMN(Design_Slope)),"NOTFOUND")</f>
        <v>NOTFOUND</v>
      </c>
      <c r="H21" s="7" t="str">
        <f>_xlfn.IFNA(INDEX(Design, MATCH(D21,Design_FromToId,0),COLUMN(Design_StartInv)),"NOTFOUND")</f>
        <v>NOTFOUND</v>
      </c>
      <c r="I21" s="7" t="str">
        <f>_xlfn.IFNA(INDEX(Design, MATCH(D21,Design_FromToId,0),COLUMN(Design_EndInv)),"NOTFOUND")</f>
        <v>NOTFOUND</v>
      </c>
    </row>
    <row r="22" spans="4:9" x14ac:dyDescent="0.25">
      <c r="D22" s="5" t="str">
        <f t="shared" si="7"/>
        <v>-</v>
      </c>
      <c r="F22" s="6" t="str">
        <f>_xlfn.IFNA(INDEX(Design,MATCH(D22,Design_FromToId,0),COLUMN(Design_Slope)),"NOTFOUND")</f>
        <v>NOTFOUND</v>
      </c>
      <c r="H22" s="7" t="str">
        <f>_xlfn.IFNA(INDEX(Design, MATCH(D22,Design_FromToId,0),COLUMN(Design_StartInv)),"NOTFOUND")</f>
        <v>NOTFOUND</v>
      </c>
      <c r="I22" s="7" t="str">
        <f>_xlfn.IFNA(INDEX(Design, MATCH(D22,Design_FromToId,0),COLUMN(Design_EndInv)),"NOTFOUND")</f>
        <v>NOTFOUND</v>
      </c>
    </row>
    <row r="23" spans="4:9" x14ac:dyDescent="0.25">
      <c r="D23" s="5" t="str">
        <f t="shared" si="7"/>
        <v>-</v>
      </c>
      <c r="F23" s="6" t="str">
        <f>_xlfn.IFNA(INDEX(Design,MATCH(D23,Design_FromToId,0),COLUMN(Design_Slope)),"NOTFOUND")</f>
        <v>NOTFOUND</v>
      </c>
      <c r="H23" s="7" t="str">
        <f>_xlfn.IFNA(INDEX(Design, MATCH(D23,Design_FromToId,0),COLUMN(Design_StartInv)),"NOTFOUND")</f>
        <v>NOTFOUND</v>
      </c>
      <c r="I23" s="7" t="str">
        <f>_xlfn.IFNA(INDEX(Design, MATCH(D23,Design_FromToId,0),COLUMN(Design_EndInv)),"NOTFOUND")</f>
        <v>NOTFOUND</v>
      </c>
    </row>
    <row r="24" spans="4:9" x14ac:dyDescent="0.25">
      <c r="D24" s="5" t="str">
        <f t="shared" si="7"/>
        <v>-</v>
      </c>
      <c r="F24" s="6" t="str">
        <f>_xlfn.IFNA(INDEX(Design,MATCH(D24,Design_FromToId,0),COLUMN(Design_Slope)),"NOTFOUND")</f>
        <v>NOTFOUND</v>
      </c>
      <c r="H24" s="7" t="str">
        <f>_xlfn.IFNA(INDEX(Design, MATCH(D24,Design_FromToId,0),COLUMN(Design_StartInv)),"NOTFOUND")</f>
        <v>NOTFOUND</v>
      </c>
      <c r="I24" s="7" t="str">
        <f>_xlfn.IFNA(INDEX(Design, MATCH(D24,Design_FromToId,0),COLUMN(Design_EndInv)),"NOTFOUND")</f>
        <v>NOTFOUND</v>
      </c>
    </row>
    <row r="25" spans="4:9" x14ac:dyDescent="0.25">
      <c r="D25" s="5" t="str">
        <f t="shared" si="7"/>
        <v>-</v>
      </c>
      <c r="F25" s="6" t="str">
        <f>_xlfn.IFNA(INDEX(Design,MATCH(D25,Design_FromToId,0),COLUMN(Design_Slope)),"NOTFOUND")</f>
        <v>NOTFOUND</v>
      </c>
      <c r="H25" s="7" t="str">
        <f>_xlfn.IFNA(INDEX(Design, MATCH(D25,Design_FromToId,0),COLUMN(Design_StartInv)),"NOTFOUND")</f>
        <v>NOTFOUND</v>
      </c>
      <c r="I25" s="7" t="str">
        <f>_xlfn.IFNA(INDEX(Design, MATCH(D25,Design_FromToId,0),COLUMN(Design_EndInv)),"NOTFOUND")</f>
        <v>NOTFOUND</v>
      </c>
    </row>
    <row r="26" spans="4:9" x14ac:dyDescent="0.25">
      <c r="D26" s="5" t="str">
        <f t="shared" si="7"/>
        <v>-</v>
      </c>
      <c r="F26" s="6" t="str">
        <f>_xlfn.IFNA(INDEX(Design,MATCH(D26,Design_FromToId,0),COLUMN(Design_Slope)),"NOTFOUND")</f>
        <v>NOTFOUND</v>
      </c>
      <c r="H26" s="7" t="str">
        <f>_xlfn.IFNA(INDEX(Design, MATCH(D26,Design_FromToId,0),COLUMN(Design_StartInv)),"NOTFOUND")</f>
        <v>NOTFOUND</v>
      </c>
      <c r="I26" s="7" t="str">
        <f>_xlfn.IFNA(INDEX(Design, MATCH(D26,Design_FromToId,0),COLUMN(Design_EndInv)),"NOTFOUND")</f>
        <v>NOTFOUND</v>
      </c>
    </row>
    <row r="27" spans="4:9" x14ac:dyDescent="0.25">
      <c r="D27" s="5" t="str">
        <f t="shared" si="7"/>
        <v>-</v>
      </c>
      <c r="F27" s="6" t="str">
        <f>_xlfn.IFNA(INDEX(Design,MATCH(D27,Design_FromToId,0),COLUMN(Design_Slope)),"NOTFOUND")</f>
        <v>NOTFOUND</v>
      </c>
      <c r="H27" s="7" t="str">
        <f>_xlfn.IFNA(INDEX(Design, MATCH(D27,Design_FromToId,0),COLUMN(Design_StartInv)),"NOTFOUND")</f>
        <v>NOTFOUND</v>
      </c>
      <c r="I27" s="7" t="str">
        <f>_xlfn.IFNA(INDEX(Design, MATCH(D27,Design_FromToId,0),COLUMN(Design_EndInv)),"NOTFOUND")</f>
        <v>NOTFOUND</v>
      </c>
    </row>
    <row r="28" spans="4:9" x14ac:dyDescent="0.25">
      <c r="D28" s="5" t="str">
        <f t="shared" si="7"/>
        <v>-</v>
      </c>
      <c r="F28" s="6" t="str">
        <f>_xlfn.IFNA(INDEX(Design,MATCH(D28,Design_FromToId,0),COLUMN(Design_Slope)),"NOTFOUND")</f>
        <v>NOTFOUND</v>
      </c>
      <c r="H28" s="7" t="str">
        <f>_xlfn.IFNA(INDEX(Design, MATCH(D28,Design_FromToId,0),COLUMN(Design_StartInv)),"NOTFOUND")</f>
        <v>NOTFOUND</v>
      </c>
      <c r="I28" s="7" t="str">
        <f>_xlfn.IFNA(INDEX(Design, MATCH(D28,Design_FromToId,0),COLUMN(Design_EndInv)),"NOTFOUND")</f>
        <v>NOTFOUND</v>
      </c>
    </row>
    <row r="29" spans="4:9" x14ac:dyDescent="0.25">
      <c r="D29" s="5" t="str">
        <f t="shared" si="7"/>
        <v>-</v>
      </c>
      <c r="F29" s="6" t="str">
        <f>_xlfn.IFNA(INDEX(Design,MATCH(D29,Design_FromToId,0),COLUMN(Design_Slope)),"NOTFOUND")</f>
        <v>NOTFOUND</v>
      </c>
      <c r="H29" s="7" t="str">
        <f>_xlfn.IFNA(INDEX(Design, MATCH(D29,Design_FromToId,0),COLUMN(Design_StartInv)),"NOTFOUND")</f>
        <v>NOTFOUND</v>
      </c>
      <c r="I29" s="7" t="str">
        <f>_xlfn.IFNA(INDEX(Design, MATCH(D29,Design_FromToId,0),COLUMN(Design_EndInv)),"NOTFOUND")</f>
        <v>NOTFOUND</v>
      </c>
    </row>
    <row r="30" spans="4:9" x14ac:dyDescent="0.25">
      <c r="D30" s="5" t="str">
        <f t="shared" si="7"/>
        <v>-</v>
      </c>
      <c r="F30" s="6" t="str">
        <f>_xlfn.IFNA(INDEX(Design,MATCH(D30,Design_FromToId,0),COLUMN(Design_Slope)),"NOTFOUND")</f>
        <v>NOTFOUND</v>
      </c>
      <c r="H30" s="7" t="str">
        <f>_xlfn.IFNA(INDEX(Design, MATCH(D30,Design_FromToId,0),COLUMN(Design_StartInv)),"NOTFOUND")</f>
        <v>NOTFOUND</v>
      </c>
      <c r="I30" s="7" t="str">
        <f>_xlfn.IFNA(INDEX(Design, MATCH(D30,Design_FromToId,0),COLUMN(Design_EndInv)),"NOTFOUND")</f>
        <v>NOTFOUND</v>
      </c>
    </row>
    <row r="31" spans="4:9" x14ac:dyDescent="0.25">
      <c r="D31" s="5" t="str">
        <f t="shared" si="7"/>
        <v>-</v>
      </c>
      <c r="F31" s="6" t="str">
        <f>_xlfn.IFNA(INDEX(Design,MATCH(D31,Design_FromToId,0),COLUMN(Design_Slope)),"NOTFOUND")</f>
        <v>NOTFOUND</v>
      </c>
      <c r="H31" s="7" t="str">
        <f>_xlfn.IFNA(INDEX(Design, MATCH(D31,Design_FromToId,0),COLUMN(Design_StartInv)),"NOTFOUND")</f>
        <v>NOTFOUND</v>
      </c>
      <c r="I31" s="7" t="str">
        <f>_xlfn.IFNA(INDEX(Design, MATCH(D31,Design_FromToId,0),COLUMN(Design_EndInv)),"NOTFOUND")</f>
        <v>NOTFOUND</v>
      </c>
    </row>
    <row r="32" spans="4:9" x14ac:dyDescent="0.25">
      <c r="D32" s="5" t="str">
        <f t="shared" si="7"/>
        <v>-</v>
      </c>
      <c r="F32" s="6" t="str">
        <f>_xlfn.IFNA(INDEX(Design,MATCH(D32,Design_FromToId,0),COLUMN(Design_Slope)),"NOTFOUND")</f>
        <v>NOTFOUND</v>
      </c>
      <c r="H32" s="7" t="str">
        <f>_xlfn.IFNA(INDEX(Design, MATCH(D32,Design_FromToId,0),COLUMN(Design_StartInv)),"NOTFOUND")</f>
        <v>NOTFOUND</v>
      </c>
      <c r="I32" s="7" t="str">
        <f>_xlfn.IFNA(INDEX(Design, MATCH(D32,Design_FromToId,0),COLUMN(Design_EndInv)),"NOTFOUND")</f>
        <v>NOTFOUND</v>
      </c>
    </row>
    <row r="33" spans="4:9" x14ac:dyDescent="0.25">
      <c r="D33" s="5" t="str">
        <f t="shared" si="7"/>
        <v>-</v>
      </c>
      <c r="F33" s="6" t="str">
        <f>_xlfn.IFNA(INDEX(Design,MATCH(D33,Design_FromToId,0),COLUMN(Design_Slope)),"NOTFOUND")</f>
        <v>NOTFOUND</v>
      </c>
      <c r="H33" s="7" t="str">
        <f>_xlfn.IFNA(INDEX(Design, MATCH(D33,Design_FromToId,0),COLUMN(Design_StartInv)),"NOTFOUND")</f>
        <v>NOTFOUND</v>
      </c>
      <c r="I33" s="7" t="str">
        <f>_xlfn.IFNA(INDEX(Design, MATCH(D33,Design_FromToId,0),COLUMN(Design_EndInv)),"NOTFOUND")</f>
        <v>NOTFOUND</v>
      </c>
    </row>
    <row r="34" spans="4:9" x14ac:dyDescent="0.25">
      <c r="D34" s="5" t="str">
        <f t="shared" si="7"/>
        <v>-</v>
      </c>
      <c r="F34" s="6" t="str">
        <f>_xlfn.IFNA(INDEX(Design,MATCH(D34,Design_FromToId,0),COLUMN(Design_Slope)),"NOTFOUND")</f>
        <v>NOTFOUND</v>
      </c>
      <c r="H34" s="7" t="str">
        <f>_xlfn.IFNA(INDEX(Design, MATCH(D34,Design_FromToId,0),COLUMN(Design_StartInv)),"NOTFOUND")</f>
        <v>NOTFOUND</v>
      </c>
      <c r="I34" s="7" t="str">
        <f>_xlfn.IFNA(INDEX(Design, MATCH(D34,Design_FromToId,0),COLUMN(Design_EndInv)),"NOTFOUND")</f>
        <v>NOTFOUND</v>
      </c>
    </row>
    <row r="35" spans="4:9" x14ac:dyDescent="0.25">
      <c r="D35" s="5" t="str">
        <f t="shared" si="7"/>
        <v>-</v>
      </c>
      <c r="F35" s="6" t="str">
        <f>_xlfn.IFNA(INDEX(Design,MATCH(D35,Design_FromToId,0),COLUMN(Design_Slope)),"NOTFOUND")</f>
        <v>NOTFOUND</v>
      </c>
      <c r="H35" s="7" t="str">
        <f>_xlfn.IFNA(INDEX(Design, MATCH(D35,Design_FromToId,0),COLUMN(Design_StartInv)),"NOTFOUND")</f>
        <v>NOTFOUND</v>
      </c>
      <c r="I35" s="7" t="str">
        <f>_xlfn.IFNA(INDEX(Design, MATCH(D35,Design_FromToId,0),COLUMN(Design_EndInv)),"NOTFOUND")</f>
        <v>NOTFOUND</v>
      </c>
    </row>
    <row r="36" spans="4:9" x14ac:dyDescent="0.25">
      <c r="D36" s="5" t="str">
        <f t="shared" si="7"/>
        <v>-</v>
      </c>
      <c r="F36" s="6" t="str">
        <f>_xlfn.IFNA(INDEX(Design,MATCH(D36,Design_FromToId,0),COLUMN(Design_Slope)),"NOTFOUND")</f>
        <v>NOTFOUND</v>
      </c>
      <c r="H36" s="7" t="str">
        <f>_xlfn.IFNA(INDEX(Design, MATCH(D36,Design_FromToId,0),COLUMN(Design_StartInv)),"NOTFOUND")</f>
        <v>NOTFOUND</v>
      </c>
      <c r="I36" s="7" t="str">
        <f>_xlfn.IFNA(INDEX(Design, MATCH(D36,Design_FromToId,0),COLUMN(Design_EndInv)),"NOTFOUND")</f>
        <v>NOTFOUND</v>
      </c>
    </row>
    <row r="37" spans="4:9" x14ac:dyDescent="0.25">
      <c r="D37" s="5" t="str">
        <f t="shared" si="7"/>
        <v>-</v>
      </c>
      <c r="F37" s="6" t="str">
        <f>_xlfn.IFNA(INDEX(Design,MATCH(D37,Design_FromToId,0),COLUMN(Design_Slope)),"NOTFOUND")</f>
        <v>NOTFOUND</v>
      </c>
      <c r="H37" s="7" t="str">
        <f>_xlfn.IFNA(INDEX(Design, MATCH(D37,Design_FromToId,0),COLUMN(Design_StartInv)),"NOTFOUND")</f>
        <v>NOTFOUND</v>
      </c>
      <c r="I37" s="7" t="str">
        <f>_xlfn.IFNA(INDEX(Design, MATCH(D37,Design_FromToId,0),COLUMN(Design_EndInv)),"NOTFOUND")</f>
        <v>NOTFOUND</v>
      </c>
    </row>
    <row r="38" spans="4:9" x14ac:dyDescent="0.25">
      <c r="D38" s="5" t="str">
        <f t="shared" si="7"/>
        <v>-</v>
      </c>
      <c r="F38" s="6" t="str">
        <f>_xlfn.IFNA(INDEX(Design,MATCH(D38,Design_FromToId,0),COLUMN(Design_Slope)),"NOTFOUND")</f>
        <v>NOTFOUND</v>
      </c>
      <c r="H38" s="7" t="str">
        <f>_xlfn.IFNA(INDEX(Design, MATCH(D38,Design_FromToId,0),COLUMN(Design_StartInv)),"NOTFOUND")</f>
        <v>NOTFOUND</v>
      </c>
      <c r="I38" s="7" t="str">
        <f>_xlfn.IFNA(INDEX(Design, MATCH(D38,Design_FromToId,0),COLUMN(Design_EndInv)),"NOTFOUND")</f>
        <v>NOTFOUND</v>
      </c>
    </row>
    <row r="39" spans="4:9" x14ac:dyDescent="0.25">
      <c r="D39" s="5" t="str">
        <f t="shared" si="7"/>
        <v>-</v>
      </c>
      <c r="F39" s="6" t="str">
        <f>_xlfn.IFNA(INDEX(Design,MATCH(D39,Design_FromToId,0),COLUMN(Design_Slope)),"NOTFOUND")</f>
        <v>NOTFOUND</v>
      </c>
      <c r="H39" s="7" t="str">
        <f>_xlfn.IFNA(INDEX(Design, MATCH(D39,Design_FromToId,0),COLUMN(Design_StartInv)),"NOTFOUND")</f>
        <v>NOTFOUND</v>
      </c>
      <c r="I39" s="7" t="str">
        <f>_xlfn.IFNA(INDEX(Design, MATCH(D39,Design_FromToId,0),COLUMN(Design_EndInv)),"NOTFOUND")</f>
        <v>NOTFOUND</v>
      </c>
    </row>
    <row r="40" spans="4:9" x14ac:dyDescent="0.25">
      <c r="D40" s="5" t="str">
        <f t="shared" si="7"/>
        <v>-</v>
      </c>
      <c r="F40" s="6" t="str">
        <f>_xlfn.IFNA(INDEX(Design,MATCH(D40,Design_FromToId,0),COLUMN(Design_Slope)),"NOTFOUND")</f>
        <v>NOTFOUND</v>
      </c>
      <c r="H40" s="7" t="str">
        <f>_xlfn.IFNA(INDEX(Design, MATCH(D40,Design_FromToId,0),COLUMN(Design_StartInv)),"NOTFOUND")</f>
        <v>NOTFOUND</v>
      </c>
      <c r="I40" s="7" t="str">
        <f>_xlfn.IFNA(INDEX(Design, MATCH(D40,Design_FromToId,0),COLUMN(Design_EndInv)),"NOTFOUND")</f>
        <v>NOTFOUND</v>
      </c>
    </row>
    <row r="41" spans="4:9" x14ac:dyDescent="0.25">
      <c r="D41" s="5" t="str">
        <f t="shared" si="7"/>
        <v>-</v>
      </c>
      <c r="F41" s="6" t="str">
        <f>_xlfn.IFNA(INDEX(Design,MATCH(D41,Design_FromToId,0),COLUMN(Design_Slope)),"NOTFOUND")</f>
        <v>NOTFOUND</v>
      </c>
      <c r="H41" s="7" t="str">
        <f>_xlfn.IFNA(INDEX(Design, MATCH(D41,Design_FromToId,0),COLUMN(Design_StartInv)),"NOTFOUND")</f>
        <v>NOTFOUND</v>
      </c>
      <c r="I41" s="7" t="str">
        <f>_xlfn.IFNA(INDEX(Design, MATCH(D41,Design_FromToId,0),COLUMN(Design_EndInv)),"NOTFOUND")</f>
        <v>NOTFOUND</v>
      </c>
    </row>
    <row r="42" spans="4:9" x14ac:dyDescent="0.25">
      <c r="D42" s="5" t="str">
        <f t="shared" si="7"/>
        <v>-</v>
      </c>
      <c r="F42" s="6" t="str">
        <f>_xlfn.IFNA(INDEX(Design,MATCH(D42,Design_FromToId,0),COLUMN(Design_Slope)),"NOTFOUND")</f>
        <v>NOTFOUND</v>
      </c>
      <c r="H42" s="7" t="str">
        <f>_xlfn.IFNA(INDEX(Design, MATCH(D42,Design_FromToId,0),COLUMN(Design_StartInv)),"NOTFOUND")</f>
        <v>NOTFOUND</v>
      </c>
      <c r="I42" s="7" t="str">
        <f>_xlfn.IFNA(INDEX(Design, MATCH(D42,Design_FromToId,0),COLUMN(Design_EndInv)),"NOTFOUND")</f>
        <v>NOTFOUND</v>
      </c>
    </row>
    <row r="43" spans="4:9" x14ac:dyDescent="0.25">
      <c r="D43" s="5" t="str">
        <f t="shared" si="7"/>
        <v>-</v>
      </c>
      <c r="F43" s="6" t="str">
        <f>_xlfn.IFNA(INDEX(Design,MATCH(D43,Design_FromToId,0),COLUMN(Design_Slope)),"NOTFOUND")</f>
        <v>NOTFOUND</v>
      </c>
      <c r="H43" s="7" t="str">
        <f>_xlfn.IFNA(INDEX(Design, MATCH(D43,Design_FromToId,0),COLUMN(Design_StartInv)),"NOTFOUND")</f>
        <v>NOTFOUND</v>
      </c>
      <c r="I43" s="7" t="str">
        <f>_xlfn.IFNA(INDEX(Design, MATCH(D43,Design_FromToId,0),COLUMN(Design_EndInv)),"NOTFOUND")</f>
        <v>NOTFOUND</v>
      </c>
    </row>
    <row r="44" spans="4:9" x14ac:dyDescent="0.25">
      <c r="D44" s="5" t="str">
        <f t="shared" si="7"/>
        <v>-</v>
      </c>
      <c r="F44" s="6" t="str">
        <f>_xlfn.IFNA(INDEX(Design,MATCH(D44,Design_FromToId,0),COLUMN(Design_Slope)),"NOTFOUND")</f>
        <v>NOTFOUND</v>
      </c>
      <c r="H44" s="7" t="str">
        <f>_xlfn.IFNA(INDEX(Design, MATCH(D44,Design_FromToId,0),COLUMN(Design_StartInv)),"NOTFOUND")</f>
        <v>NOTFOUND</v>
      </c>
      <c r="I44" s="7" t="str">
        <f>_xlfn.IFNA(INDEX(Design, MATCH(D44,Design_FromToId,0),COLUMN(Design_EndInv)),"NOTFOUND")</f>
        <v>NOTFOUND</v>
      </c>
    </row>
    <row r="45" spans="4:9" x14ac:dyDescent="0.25">
      <c r="D45" s="5" t="str">
        <f t="shared" si="7"/>
        <v>-</v>
      </c>
      <c r="F45" s="6" t="str">
        <f>_xlfn.IFNA(INDEX(Design,MATCH(D45,Design_FromToId,0),COLUMN(Design_Slope)),"NOTFOUND")</f>
        <v>NOTFOUND</v>
      </c>
      <c r="H45" s="7" t="str">
        <f>_xlfn.IFNA(INDEX(Design, MATCH(D45,Design_FromToId,0),COLUMN(Design_StartInv)),"NOTFOUND")</f>
        <v>NOTFOUND</v>
      </c>
      <c r="I45" s="7" t="str">
        <f>_xlfn.IFNA(INDEX(Design, MATCH(D45,Design_FromToId,0),COLUMN(Design_EndInv)),"NOTFOUND")</f>
        <v>NOTFOUND</v>
      </c>
    </row>
    <row r="46" spans="4:9" x14ac:dyDescent="0.25">
      <c r="D46" s="5" t="str">
        <f t="shared" si="7"/>
        <v>-</v>
      </c>
      <c r="F46" s="6" t="str">
        <f>_xlfn.IFNA(INDEX(Design,MATCH(D46,Design_FromToId,0),COLUMN(Design_Slope)),"NOTFOUND")</f>
        <v>NOTFOUND</v>
      </c>
      <c r="H46" s="7" t="str">
        <f>_xlfn.IFNA(INDEX(Design, MATCH(D46,Design_FromToId,0),COLUMN(Design_StartInv)),"NOTFOUND")</f>
        <v>NOTFOUND</v>
      </c>
      <c r="I46" s="7" t="str">
        <f>_xlfn.IFNA(INDEX(Design, MATCH(D46,Design_FromToId,0),COLUMN(Design_EndInv)),"NOTFOUND")</f>
        <v>NOTFOUND</v>
      </c>
    </row>
    <row r="47" spans="4:9" x14ac:dyDescent="0.25">
      <c r="D47" s="5" t="str">
        <f t="shared" si="7"/>
        <v>-</v>
      </c>
      <c r="F47" s="6" t="str">
        <f>_xlfn.IFNA(INDEX(Design,MATCH(D47,Design_FromToId,0),COLUMN(Design_Slope)),"NOTFOUND")</f>
        <v>NOTFOUND</v>
      </c>
      <c r="H47" s="7" t="str">
        <f>_xlfn.IFNA(INDEX(Design, MATCH(D47,Design_FromToId,0),COLUMN(Design_StartInv)),"NOTFOUND")</f>
        <v>NOTFOUND</v>
      </c>
      <c r="I47" s="7" t="str">
        <f>_xlfn.IFNA(INDEX(Design, MATCH(D47,Design_FromToId,0),COLUMN(Design_EndInv)),"NOTFOUND")</f>
        <v>NOTFOUND</v>
      </c>
    </row>
    <row r="48" spans="4:9" x14ac:dyDescent="0.25">
      <c r="D48" s="5" t="str">
        <f t="shared" si="7"/>
        <v>-</v>
      </c>
      <c r="F48" s="6" t="str">
        <f>_xlfn.IFNA(INDEX(Design,MATCH(D48,Design_FromToId,0),COLUMN(Design_Slope)),"NOTFOUND")</f>
        <v>NOTFOUND</v>
      </c>
      <c r="H48" s="7" t="str">
        <f>_xlfn.IFNA(INDEX(Design, MATCH(D48,Design_FromToId,0),COLUMN(Design_StartInv)),"NOTFOUND")</f>
        <v>NOTFOUND</v>
      </c>
      <c r="I48" s="7" t="str">
        <f>_xlfn.IFNA(INDEX(Design, MATCH(D48,Design_FromToId,0),COLUMN(Design_EndInv)),"NOTFOUND")</f>
        <v>NOTFOUND</v>
      </c>
    </row>
    <row r="49" spans="4:9" x14ac:dyDescent="0.25">
      <c r="D49" s="5" t="str">
        <f t="shared" si="7"/>
        <v>-</v>
      </c>
      <c r="F49" s="6" t="str">
        <f>_xlfn.IFNA(INDEX(Design,MATCH(D49,Design_FromToId,0),COLUMN(Design_Slope)),"NOTFOUND")</f>
        <v>NOTFOUND</v>
      </c>
      <c r="H49" s="7" t="str">
        <f>_xlfn.IFNA(INDEX(Design, MATCH(D49,Design_FromToId,0),COLUMN(Design_StartInv)),"NOTFOUND")</f>
        <v>NOTFOUND</v>
      </c>
      <c r="I49" s="7" t="str">
        <f>_xlfn.IFNA(INDEX(Design, MATCH(D49,Design_FromToId,0),COLUMN(Design_EndInv)),"NOTFOUND")</f>
        <v>NOTFOUND</v>
      </c>
    </row>
    <row r="50" spans="4:9" x14ac:dyDescent="0.25">
      <c r="D50" s="5" t="str">
        <f t="shared" si="7"/>
        <v>-</v>
      </c>
      <c r="F50" s="6" t="str">
        <f>_xlfn.IFNA(INDEX(Design,MATCH(D50,Design_FromToId,0),COLUMN(Design_Slope)),"NOTFOUND")</f>
        <v>NOTFOUND</v>
      </c>
      <c r="H50" s="7" t="str">
        <f>_xlfn.IFNA(INDEX(Design, MATCH(D50,Design_FromToId,0),COLUMN(Design_StartInv)),"NOTFOUND")</f>
        <v>NOTFOUND</v>
      </c>
      <c r="I50" s="7" t="str">
        <f>_xlfn.IFNA(INDEX(Design, MATCH(D50,Design_FromToId,0),COLUMN(Design_EndInv)),"NOTFOUND")</f>
        <v>NOTFOUND</v>
      </c>
    </row>
    <row r="51" spans="4:9" x14ac:dyDescent="0.25">
      <c r="D51" s="5" t="str">
        <f t="shared" si="7"/>
        <v>-</v>
      </c>
      <c r="F51" s="6" t="str">
        <f>_xlfn.IFNA(INDEX(Design,MATCH(D51,Design_FromToId,0),COLUMN(Design_Slope)),"NOTFOUND")</f>
        <v>NOTFOUND</v>
      </c>
      <c r="H51" s="7" t="str">
        <f>_xlfn.IFNA(INDEX(Design, MATCH(D51,Design_FromToId,0),COLUMN(Design_StartInv)),"NOTFOUND")</f>
        <v>NOTFOUND</v>
      </c>
      <c r="I51" s="7" t="str">
        <f>_xlfn.IFNA(INDEX(Design, MATCH(D51,Design_FromToId,0),COLUMN(Design_EndInv)),"NOTFOUND")</f>
        <v>NOTFOUND</v>
      </c>
    </row>
    <row r="52" spans="4:9" x14ac:dyDescent="0.25">
      <c r="D52" s="5" t="str">
        <f t="shared" si="7"/>
        <v>-</v>
      </c>
      <c r="F52" s="6" t="str">
        <f>_xlfn.IFNA(INDEX(Design,MATCH(D52,Design_FromToId,0),COLUMN(Design_Slope)),"NOTFOUND")</f>
        <v>NOTFOUND</v>
      </c>
      <c r="H52" s="7" t="str">
        <f>_xlfn.IFNA(INDEX(Design, MATCH(D52,Design_FromToId,0),COLUMN(Design_StartInv)),"NOTFOUND")</f>
        <v>NOTFOUND</v>
      </c>
      <c r="I52" s="7" t="str">
        <f>_xlfn.IFNA(INDEX(Design, MATCH(D52,Design_FromToId,0),COLUMN(Design_EndInv)),"NOTFOUND")</f>
        <v>NOTFOUND</v>
      </c>
    </row>
    <row r="53" spans="4:9" x14ac:dyDescent="0.25">
      <c r="D53" s="5" t="str">
        <f t="shared" si="7"/>
        <v>-</v>
      </c>
      <c r="F53" s="6" t="str">
        <f>_xlfn.IFNA(INDEX(Design,MATCH(D53,Design_FromToId,0),COLUMN(Design_Slope)),"NOTFOUND")</f>
        <v>NOTFOUND</v>
      </c>
      <c r="H53" s="7" t="str">
        <f>_xlfn.IFNA(INDEX(Design, MATCH(D53,Design_FromToId,0),COLUMN(Design_StartInv)),"NOTFOUND")</f>
        <v>NOTFOUND</v>
      </c>
      <c r="I53" s="7" t="str">
        <f>_xlfn.IFNA(INDEX(Design, MATCH(D53,Design_FromToId,0),COLUMN(Design_EndInv)),"NOTFOUND")</f>
        <v>NOTFOUND</v>
      </c>
    </row>
    <row r="54" spans="4:9" x14ac:dyDescent="0.25">
      <c r="D54" s="5" t="str">
        <f t="shared" si="7"/>
        <v>-</v>
      </c>
      <c r="F54" s="6" t="str">
        <f>_xlfn.IFNA(INDEX(Design,MATCH(D54,Design_FromToId,0),COLUMN(Design_Slope)),"NOTFOUND")</f>
        <v>NOTFOUND</v>
      </c>
      <c r="H54" s="7" t="str">
        <f>_xlfn.IFNA(INDEX(Design, MATCH(D54,Design_FromToId,0),COLUMN(Design_StartInv)),"NOTFOUND")</f>
        <v>NOTFOUND</v>
      </c>
      <c r="I54" s="7" t="str">
        <f>_xlfn.IFNA(INDEX(Design, MATCH(D54,Design_FromToId,0),COLUMN(Design_EndInv)),"NOTFOUND")</f>
        <v>NOTFOUND</v>
      </c>
    </row>
    <row r="55" spans="4:9" x14ac:dyDescent="0.25">
      <c r="D55" s="5" t="str">
        <f t="shared" si="7"/>
        <v>-</v>
      </c>
      <c r="F55" s="6" t="str">
        <f>_xlfn.IFNA(INDEX(Design,MATCH(D55,Design_FromToId,0),COLUMN(Design_Slope)),"NOTFOUND")</f>
        <v>NOTFOUND</v>
      </c>
      <c r="H55" s="7" t="str">
        <f>_xlfn.IFNA(INDEX(Design, MATCH(D55,Design_FromToId,0),COLUMN(Design_StartInv)),"NOTFOUND")</f>
        <v>NOTFOUND</v>
      </c>
      <c r="I55" s="7" t="str">
        <f>_xlfn.IFNA(INDEX(Design, MATCH(D55,Design_FromToId,0),COLUMN(Design_EndInv)),"NOTFOUND")</f>
        <v>NOTFOUND</v>
      </c>
    </row>
    <row r="56" spans="4:9" x14ac:dyDescent="0.25">
      <c r="D56" s="5" t="str">
        <f t="shared" si="7"/>
        <v>-</v>
      </c>
      <c r="F56" s="6" t="str">
        <f>_xlfn.IFNA(INDEX(Design,MATCH(D56,Design_FromToId,0),COLUMN(Design_Slope)),"NOTFOUND")</f>
        <v>NOTFOUND</v>
      </c>
      <c r="H56" s="7" t="str">
        <f>_xlfn.IFNA(INDEX(Design, MATCH(D56,Design_FromToId,0),COLUMN(Design_StartInv)),"NOTFOUND")</f>
        <v>NOTFOUND</v>
      </c>
      <c r="I56" s="7" t="str">
        <f>_xlfn.IFNA(INDEX(Design, MATCH(D56,Design_FromToId,0),COLUMN(Design_EndInv)),"NOTFOUND")</f>
        <v>NOTFOUND</v>
      </c>
    </row>
    <row r="57" spans="4:9" x14ac:dyDescent="0.25">
      <c r="D57" s="5" t="str">
        <f t="shared" si="7"/>
        <v>-</v>
      </c>
      <c r="F57" s="6" t="str">
        <f>_xlfn.IFNA(INDEX(Design,MATCH(D57,Design_FromToId,0),COLUMN(Design_Slope)),"NOTFOUND")</f>
        <v>NOTFOUND</v>
      </c>
      <c r="H57" s="7" t="str">
        <f>_xlfn.IFNA(INDEX(Design, MATCH(D57,Design_FromToId,0),COLUMN(Design_StartInv)),"NOTFOUND")</f>
        <v>NOTFOUND</v>
      </c>
      <c r="I57" s="7" t="str">
        <f>_xlfn.IFNA(INDEX(Design, MATCH(D57,Design_FromToId,0),COLUMN(Design_EndInv)),"NOTFOUND")</f>
        <v>NOTFOUND</v>
      </c>
    </row>
    <row r="58" spans="4:9" x14ac:dyDescent="0.25">
      <c r="D58" s="5" t="str">
        <f t="shared" si="7"/>
        <v>-</v>
      </c>
      <c r="F58" s="6" t="str">
        <f>_xlfn.IFNA(INDEX(Design,MATCH(D58,Design_FromToId,0),COLUMN(Design_Slope)),"NOTFOUND")</f>
        <v>NOTFOUND</v>
      </c>
      <c r="H58" s="7" t="str">
        <f>_xlfn.IFNA(INDEX(Design, MATCH(D58,Design_FromToId,0),COLUMN(Design_StartInv)),"NOTFOUND")</f>
        <v>NOTFOUND</v>
      </c>
      <c r="I58" s="7" t="str">
        <f>_xlfn.IFNA(INDEX(Design, MATCH(D58,Design_FromToId,0),COLUMN(Design_EndInv)),"NOTFOUND")</f>
        <v>NOTFOUND</v>
      </c>
    </row>
    <row r="59" spans="4:9" x14ac:dyDescent="0.25">
      <c r="D59" s="5" t="str">
        <f t="shared" si="7"/>
        <v>-</v>
      </c>
      <c r="F59" s="6" t="str">
        <f>_xlfn.IFNA(INDEX(Design,MATCH(D59,Design_FromToId,0),COLUMN(Design_Slope)),"NOTFOUND")</f>
        <v>NOTFOUND</v>
      </c>
      <c r="H59" s="7" t="str">
        <f>_xlfn.IFNA(INDEX(Design, MATCH(D59,Design_FromToId,0),COLUMN(Design_StartInv)),"NOTFOUND")</f>
        <v>NOTFOUND</v>
      </c>
      <c r="I59" s="7" t="str">
        <f>_xlfn.IFNA(INDEX(Design, MATCH(D59,Design_FromToId,0),COLUMN(Design_EndInv)),"NOTFOUND")</f>
        <v>NOTFOUND</v>
      </c>
    </row>
    <row r="60" spans="4:9" x14ac:dyDescent="0.25">
      <c r="D60" s="5" t="str">
        <f t="shared" si="7"/>
        <v>-</v>
      </c>
      <c r="F60" s="6" t="str">
        <f>_xlfn.IFNA(INDEX(Design,MATCH(D60,Design_FromToId,0),COLUMN(Design_Slope)),"NOTFOUND")</f>
        <v>NOTFOUND</v>
      </c>
      <c r="H60" s="7" t="str">
        <f>_xlfn.IFNA(INDEX(Design, MATCH(D60,Design_FromToId,0),COLUMN(Design_StartInv)),"NOTFOUND")</f>
        <v>NOTFOUND</v>
      </c>
      <c r="I60" s="7" t="str">
        <f>_xlfn.IFNA(INDEX(Design, MATCH(D60,Design_FromToId,0),COLUMN(Design_EndInv)),"NOTFOUND")</f>
        <v>NOTFOUND</v>
      </c>
    </row>
    <row r="61" spans="4:9" x14ac:dyDescent="0.25">
      <c r="D61" s="5" t="str">
        <f t="shared" si="7"/>
        <v>-</v>
      </c>
      <c r="F61" s="6" t="str">
        <f>_xlfn.IFNA(INDEX(Design,MATCH(D61,Design_FromToId,0),COLUMN(Design_Slope)),"NOTFOUND")</f>
        <v>NOTFOUND</v>
      </c>
      <c r="H61" s="7" t="str">
        <f>_xlfn.IFNA(INDEX(Design, MATCH(D61,Design_FromToId,0),COLUMN(Design_StartInv)),"NOTFOUND")</f>
        <v>NOTFOUND</v>
      </c>
      <c r="I61" s="7" t="str">
        <f>_xlfn.IFNA(INDEX(Design, MATCH(D61,Design_FromToId,0),COLUMN(Design_EndInv)),"NOTFOUND")</f>
        <v>NOTFOUND</v>
      </c>
    </row>
    <row r="62" spans="4:9" x14ac:dyDescent="0.25">
      <c r="D62" s="5" t="str">
        <f t="shared" si="7"/>
        <v>-</v>
      </c>
      <c r="F62" s="6" t="str">
        <f>_xlfn.IFNA(INDEX(Design,MATCH(D62,Design_FromToId,0),COLUMN(Design_Slope)),"NOTFOUND")</f>
        <v>NOTFOUND</v>
      </c>
      <c r="H62" s="7" t="str">
        <f>_xlfn.IFNA(INDEX(Design, MATCH(D62,Design_FromToId,0),COLUMN(Design_StartInv)),"NOTFOUND")</f>
        <v>NOTFOUND</v>
      </c>
      <c r="I62" s="7" t="str">
        <f>_xlfn.IFNA(INDEX(Design, MATCH(D62,Design_FromToId,0),COLUMN(Design_EndInv)),"NOTFOUND")</f>
        <v>NOTFOUND</v>
      </c>
    </row>
    <row r="63" spans="4:9" x14ac:dyDescent="0.25">
      <c r="D63" s="5" t="str">
        <f t="shared" si="7"/>
        <v>-</v>
      </c>
      <c r="F63" s="6" t="str">
        <f>_xlfn.IFNA(INDEX(Design,MATCH(D63,Design_FromToId,0),COLUMN(Design_Slope)),"NOTFOUND")</f>
        <v>NOTFOUND</v>
      </c>
      <c r="H63" s="7" t="str">
        <f>_xlfn.IFNA(INDEX(Design, MATCH(D63,Design_FromToId,0),COLUMN(Design_StartInv)),"NOTFOUND")</f>
        <v>NOTFOUND</v>
      </c>
      <c r="I63" s="7" t="str">
        <f>_xlfn.IFNA(INDEX(Design, MATCH(D63,Design_FromToId,0),COLUMN(Design_EndInv)),"NOTFOUND")</f>
        <v>NOTFOUND</v>
      </c>
    </row>
    <row r="64" spans="4:9" x14ac:dyDescent="0.25">
      <c r="D64" s="5" t="str">
        <f t="shared" si="7"/>
        <v>-</v>
      </c>
      <c r="F64" s="6" t="str">
        <f>_xlfn.IFNA(INDEX(Design,MATCH(D64,Design_FromToId,0),COLUMN(Design_Slope)),"NOTFOUND")</f>
        <v>NOTFOUND</v>
      </c>
      <c r="H64" s="7" t="str">
        <f>_xlfn.IFNA(INDEX(Design, MATCH(D64,Design_FromToId,0),COLUMN(Design_StartInv)),"NOTFOUND")</f>
        <v>NOTFOUND</v>
      </c>
      <c r="I64" s="7" t="str">
        <f>_xlfn.IFNA(INDEX(Design, MATCH(D64,Design_FromToId,0),COLUMN(Design_EndInv)),"NOTFOUND")</f>
        <v>NOTFOUND</v>
      </c>
    </row>
    <row r="65" spans="4:9" x14ac:dyDescent="0.25">
      <c r="D65" s="5" t="str">
        <f t="shared" si="7"/>
        <v>-</v>
      </c>
      <c r="F65" s="6" t="str">
        <f>_xlfn.IFNA(INDEX(Design,MATCH(D65,Design_FromToId,0),COLUMN(Design_Slope)),"NOTFOUND")</f>
        <v>NOTFOUND</v>
      </c>
      <c r="H65" s="7" t="str">
        <f>_xlfn.IFNA(INDEX(Design, MATCH(D65,Design_FromToId,0),COLUMN(Design_StartInv)),"NOTFOUND")</f>
        <v>NOTFOUND</v>
      </c>
      <c r="I65" s="7" t="str">
        <f>_xlfn.IFNA(INDEX(Design, MATCH(D65,Design_FromToId,0),COLUMN(Design_EndInv)),"NOTFOUND")</f>
        <v>NOTFOUND</v>
      </c>
    </row>
    <row r="66" spans="4:9" x14ac:dyDescent="0.25">
      <c r="D66" s="5" t="str">
        <f t="shared" si="7"/>
        <v>-</v>
      </c>
      <c r="F66" s="6" t="str">
        <f>_xlfn.IFNA(INDEX(Design,MATCH(D66,Design_FromToId,0),COLUMN(Design_Slope)),"NOTFOUND")</f>
        <v>NOTFOUND</v>
      </c>
      <c r="H66" s="7" t="str">
        <f>_xlfn.IFNA(INDEX(Design, MATCH(D66,Design_FromToId,0),COLUMN(Design_StartInv)),"NOTFOUND")</f>
        <v>NOTFOUND</v>
      </c>
      <c r="I66" s="7" t="str">
        <f>_xlfn.IFNA(INDEX(Design, MATCH(D66,Design_FromToId,0),COLUMN(Design_EndInv)),"NOTFOUND")</f>
        <v>NOTFOUND</v>
      </c>
    </row>
    <row r="67" spans="4:9" x14ac:dyDescent="0.25">
      <c r="D67" s="5" t="str">
        <f t="shared" si="7"/>
        <v>-</v>
      </c>
      <c r="F67" s="6" t="str">
        <f>_xlfn.IFNA(INDEX(Design,MATCH(D67,Design_FromToId,0),COLUMN(Design_Slope)),"NOTFOUND")</f>
        <v>NOTFOUND</v>
      </c>
      <c r="H67" s="7" t="str">
        <f>_xlfn.IFNA(INDEX(Design, MATCH(D67,Design_FromToId,0),COLUMN(Design_StartInv)),"NOTFOUND")</f>
        <v>NOTFOUND</v>
      </c>
      <c r="I67" s="7" t="str">
        <f>_xlfn.IFNA(INDEX(Design, MATCH(D67,Design_FromToId,0),COLUMN(Design_EndInv)),"NOTFOUND")</f>
        <v>NOTFOUND</v>
      </c>
    </row>
    <row r="68" spans="4:9" x14ac:dyDescent="0.25">
      <c r="D68" s="5" t="str">
        <f t="shared" si="7"/>
        <v>-</v>
      </c>
      <c r="F68" s="6" t="str">
        <f>_xlfn.IFNA(INDEX(Design,MATCH(D68,Design_FromToId,0),COLUMN(Design_Slope)),"NOTFOUND")</f>
        <v>NOTFOUND</v>
      </c>
      <c r="H68" s="7" t="str">
        <f>_xlfn.IFNA(INDEX(Design, MATCH(D68,Design_FromToId,0),COLUMN(Design_StartInv)),"NOTFOUND")</f>
        <v>NOTFOUND</v>
      </c>
      <c r="I68" s="7" t="str">
        <f>_xlfn.IFNA(INDEX(Design, MATCH(D68,Design_FromToId,0),COLUMN(Design_EndInv)),"NOTFOUND")</f>
        <v>NOTFOUND</v>
      </c>
    </row>
    <row r="69" spans="4:9" x14ac:dyDescent="0.25">
      <c r="D69" s="5" t="str">
        <f t="shared" si="7"/>
        <v>-</v>
      </c>
      <c r="F69" s="6" t="str">
        <f>_xlfn.IFNA(INDEX(Design,MATCH(D69,Design_FromToId,0),COLUMN(Design_Slope)),"NOTFOUND")</f>
        <v>NOTFOUND</v>
      </c>
      <c r="H69" s="7" t="str">
        <f>_xlfn.IFNA(INDEX(Design, MATCH(D69,Design_FromToId,0),COLUMN(Design_StartInv)),"NOTFOUND")</f>
        <v>NOTFOUND</v>
      </c>
      <c r="I69" s="7" t="str">
        <f>_xlfn.IFNA(INDEX(Design, MATCH(D69,Design_FromToId,0),COLUMN(Design_EndInv)),"NOTFOUND")</f>
        <v>NOTFOUND</v>
      </c>
    </row>
    <row r="70" spans="4:9" x14ac:dyDescent="0.25">
      <c r="D70" s="5" t="str">
        <f t="shared" si="7"/>
        <v>-</v>
      </c>
      <c r="F70" s="6" t="str">
        <f>_xlfn.IFNA(INDEX(Design,MATCH(D70,Design_FromToId,0),COLUMN(Design_Slope)),"NOTFOUND")</f>
        <v>NOTFOUND</v>
      </c>
      <c r="H70" s="7" t="str">
        <f>_xlfn.IFNA(INDEX(Design, MATCH(D70,Design_FromToId,0),COLUMN(Design_StartInv)),"NOTFOUND")</f>
        <v>NOTFOUND</v>
      </c>
      <c r="I70" s="7" t="str">
        <f>_xlfn.IFNA(INDEX(Design, MATCH(D70,Design_FromToId,0),COLUMN(Design_EndInv)),"NOTFOUND")</f>
        <v>NOTFOUND</v>
      </c>
    </row>
    <row r="71" spans="4:9" x14ac:dyDescent="0.25">
      <c r="D71" s="5" t="str">
        <f t="shared" si="7"/>
        <v>-</v>
      </c>
      <c r="F71" s="6" t="str">
        <f>_xlfn.IFNA(INDEX(Design,MATCH(D71,Design_FromToId,0),COLUMN(Design_Slope)),"NOTFOUND")</f>
        <v>NOTFOUND</v>
      </c>
      <c r="H71" s="7" t="str">
        <f>_xlfn.IFNA(INDEX(Design, MATCH(D71,Design_FromToId,0),COLUMN(Design_StartInv)),"NOTFOUND")</f>
        <v>NOTFOUND</v>
      </c>
      <c r="I71" s="7" t="str">
        <f>_xlfn.IFNA(INDEX(Design, MATCH(D71,Design_FromToId,0),COLUMN(Design_EndInv)),"NOTFOUND")</f>
        <v>NOTFOUND</v>
      </c>
    </row>
    <row r="72" spans="4:9" x14ac:dyDescent="0.25">
      <c r="D72" s="5" t="str">
        <f t="shared" si="7"/>
        <v>-</v>
      </c>
      <c r="F72" s="6" t="str">
        <f>_xlfn.IFNA(INDEX(Design,MATCH(D72,Design_FromToId,0),COLUMN(Design_Slope)),"NOTFOUND")</f>
        <v>NOTFOUND</v>
      </c>
      <c r="H72" s="7" t="str">
        <f>_xlfn.IFNA(INDEX(Design, MATCH(D72,Design_FromToId,0),COLUMN(Design_StartInv)),"NOTFOUND")</f>
        <v>NOTFOUND</v>
      </c>
      <c r="I72" s="7" t="str">
        <f>_xlfn.IFNA(INDEX(Design, MATCH(D72,Design_FromToId,0),COLUMN(Design_EndInv)),"NOTFOUND")</f>
        <v>NOTFOUND</v>
      </c>
    </row>
    <row r="73" spans="4:9" x14ac:dyDescent="0.25">
      <c r="D73" s="5" t="str">
        <f t="shared" si="7"/>
        <v>-</v>
      </c>
      <c r="F73" s="6" t="str">
        <f>_xlfn.IFNA(INDEX(Design,MATCH(D73,Design_FromToId,0),COLUMN(Design_Slope)),"NOTFOUND")</f>
        <v>NOTFOUND</v>
      </c>
      <c r="H73" s="7" t="str">
        <f>_xlfn.IFNA(INDEX(Design, MATCH(D73,Design_FromToId,0),COLUMN(Design_StartInv)),"NOTFOUND")</f>
        <v>NOTFOUND</v>
      </c>
      <c r="I73" s="7" t="str">
        <f>_xlfn.IFNA(INDEX(Design, MATCH(D73,Design_FromToId,0),COLUMN(Design_EndInv)),"NOTFOUND")</f>
        <v>NOTFOUND</v>
      </c>
    </row>
    <row r="74" spans="4:9" x14ac:dyDescent="0.25">
      <c r="D74" s="5" t="str">
        <f t="shared" ref="D74:D137" si="8">_xlfn.CONCAT(B74,"-",C74)</f>
        <v>-</v>
      </c>
      <c r="F74" s="6" t="str">
        <f>_xlfn.IFNA(INDEX(Design,MATCH(D74,Design_FromToId,0),COLUMN(Design_Slope)),"NOTFOUND")</f>
        <v>NOTFOUND</v>
      </c>
      <c r="H74" s="7" t="str">
        <f>_xlfn.IFNA(INDEX(Design, MATCH(D74,Design_FromToId,0),COLUMN(Design_StartInv)),"NOTFOUND")</f>
        <v>NOTFOUND</v>
      </c>
      <c r="I74" s="7" t="str">
        <f>_xlfn.IFNA(INDEX(Design, MATCH(D74,Design_FromToId,0),COLUMN(Design_EndInv)),"NOTFOUND")</f>
        <v>NOTFOUND</v>
      </c>
    </row>
    <row r="75" spans="4:9" x14ac:dyDescent="0.25">
      <c r="D75" s="5" t="str">
        <f t="shared" si="8"/>
        <v>-</v>
      </c>
      <c r="F75" s="6" t="str">
        <f>_xlfn.IFNA(INDEX(Design,MATCH(D75,Design_FromToId,0),COLUMN(Design_Slope)),"NOTFOUND")</f>
        <v>NOTFOUND</v>
      </c>
      <c r="H75" s="7" t="str">
        <f>_xlfn.IFNA(INDEX(Design, MATCH(D75,Design_FromToId,0),COLUMN(Design_StartInv)),"NOTFOUND")</f>
        <v>NOTFOUND</v>
      </c>
      <c r="I75" s="7" t="str">
        <f>_xlfn.IFNA(INDEX(Design, MATCH(D75,Design_FromToId,0),COLUMN(Design_EndInv)),"NOTFOUND")</f>
        <v>NOTFOUND</v>
      </c>
    </row>
    <row r="76" spans="4:9" x14ac:dyDescent="0.25">
      <c r="D76" s="5" t="str">
        <f t="shared" si="8"/>
        <v>-</v>
      </c>
      <c r="F76" s="6" t="str">
        <f>_xlfn.IFNA(INDEX(Design,MATCH(D76,Design_FromToId,0),COLUMN(Design_Slope)),"NOTFOUND")</f>
        <v>NOTFOUND</v>
      </c>
      <c r="H76" s="7" t="str">
        <f>_xlfn.IFNA(INDEX(Design, MATCH(D76,Design_FromToId,0),COLUMN(Design_StartInv)),"NOTFOUND")</f>
        <v>NOTFOUND</v>
      </c>
      <c r="I76" s="7" t="str">
        <f>_xlfn.IFNA(INDEX(Design, MATCH(D76,Design_FromToId,0),COLUMN(Design_EndInv)),"NOTFOUND")</f>
        <v>NOTFOUND</v>
      </c>
    </row>
    <row r="77" spans="4:9" x14ac:dyDescent="0.25">
      <c r="D77" s="5" t="str">
        <f t="shared" si="8"/>
        <v>-</v>
      </c>
      <c r="F77" s="6" t="str">
        <f>_xlfn.IFNA(INDEX(Design,MATCH(D77,Design_FromToId,0),COLUMN(Design_Slope)),"NOTFOUND")</f>
        <v>NOTFOUND</v>
      </c>
      <c r="H77" s="7" t="str">
        <f>_xlfn.IFNA(INDEX(Design, MATCH(D77,Design_FromToId,0),COLUMN(Design_StartInv)),"NOTFOUND")</f>
        <v>NOTFOUND</v>
      </c>
      <c r="I77" s="7" t="str">
        <f>_xlfn.IFNA(INDEX(Design, MATCH(D77,Design_FromToId,0),COLUMN(Design_EndInv)),"NOTFOUND")</f>
        <v>NOTFOUND</v>
      </c>
    </row>
    <row r="78" spans="4:9" x14ac:dyDescent="0.25">
      <c r="D78" s="5" t="str">
        <f t="shared" si="8"/>
        <v>-</v>
      </c>
      <c r="F78" s="6" t="str">
        <f>_xlfn.IFNA(INDEX(Design,MATCH(D78,Design_FromToId,0),COLUMN(Design_Slope)),"NOTFOUND")</f>
        <v>NOTFOUND</v>
      </c>
      <c r="H78" s="7" t="str">
        <f>_xlfn.IFNA(INDEX(Design, MATCH(D78,Design_FromToId,0),COLUMN(Design_StartInv)),"NOTFOUND")</f>
        <v>NOTFOUND</v>
      </c>
      <c r="I78" s="7" t="str">
        <f>_xlfn.IFNA(INDEX(Design, MATCH(D78,Design_FromToId,0),COLUMN(Design_EndInv)),"NOTFOUND")</f>
        <v>NOTFOUND</v>
      </c>
    </row>
    <row r="79" spans="4:9" x14ac:dyDescent="0.25">
      <c r="D79" s="5" t="str">
        <f t="shared" si="8"/>
        <v>-</v>
      </c>
      <c r="F79" s="6" t="str">
        <f>_xlfn.IFNA(INDEX(Design,MATCH(D79,Design_FromToId,0),COLUMN(Design_Slope)),"NOTFOUND")</f>
        <v>NOTFOUND</v>
      </c>
      <c r="H79" s="7" t="str">
        <f>_xlfn.IFNA(INDEX(Design, MATCH(D79,Design_FromToId,0),COLUMN(Design_StartInv)),"NOTFOUND")</f>
        <v>NOTFOUND</v>
      </c>
      <c r="I79" s="7" t="str">
        <f>_xlfn.IFNA(INDEX(Design, MATCH(D79,Design_FromToId,0),COLUMN(Design_EndInv)),"NOTFOUND")</f>
        <v>NOTFOUND</v>
      </c>
    </row>
    <row r="80" spans="4:9" x14ac:dyDescent="0.25">
      <c r="D80" s="5" t="str">
        <f t="shared" si="8"/>
        <v>-</v>
      </c>
      <c r="F80" s="6" t="str">
        <f>_xlfn.IFNA(INDEX(Design,MATCH(D80,Design_FromToId,0),COLUMN(Design_Slope)),"NOTFOUND")</f>
        <v>NOTFOUND</v>
      </c>
      <c r="H80" s="7" t="str">
        <f>_xlfn.IFNA(INDEX(Design, MATCH(D80,Design_FromToId,0),COLUMN(Design_StartInv)),"NOTFOUND")</f>
        <v>NOTFOUND</v>
      </c>
      <c r="I80" s="7" t="str">
        <f>_xlfn.IFNA(INDEX(Design, MATCH(D80,Design_FromToId,0),COLUMN(Design_EndInv)),"NOTFOUND")</f>
        <v>NOTFOUND</v>
      </c>
    </row>
    <row r="81" spans="4:9" x14ac:dyDescent="0.25">
      <c r="D81" s="5" t="str">
        <f t="shared" si="8"/>
        <v>-</v>
      </c>
      <c r="F81" s="6" t="str">
        <f>_xlfn.IFNA(INDEX(Design,MATCH(D81,Design_FromToId,0),COLUMN(Design_Slope)),"NOTFOUND")</f>
        <v>NOTFOUND</v>
      </c>
      <c r="H81" s="7" t="str">
        <f>_xlfn.IFNA(INDEX(Design, MATCH(D81,Design_FromToId,0),COLUMN(Design_StartInv)),"NOTFOUND")</f>
        <v>NOTFOUND</v>
      </c>
      <c r="I81" s="7" t="str">
        <f>_xlfn.IFNA(INDEX(Design, MATCH(D81,Design_FromToId,0),COLUMN(Design_EndInv)),"NOTFOUND")</f>
        <v>NOTFOUND</v>
      </c>
    </row>
    <row r="82" spans="4:9" x14ac:dyDescent="0.25">
      <c r="D82" s="5" t="str">
        <f t="shared" si="8"/>
        <v>-</v>
      </c>
      <c r="F82" s="6" t="str">
        <f>_xlfn.IFNA(INDEX(Design,MATCH(D82,Design_FromToId,0),COLUMN(Design_Slope)),"NOTFOUND")</f>
        <v>NOTFOUND</v>
      </c>
      <c r="H82" s="7" t="str">
        <f>_xlfn.IFNA(INDEX(Design, MATCH(D82,Design_FromToId,0),COLUMN(Design_StartInv)),"NOTFOUND")</f>
        <v>NOTFOUND</v>
      </c>
      <c r="I82" s="7" t="str">
        <f>_xlfn.IFNA(INDEX(Design, MATCH(D82,Design_FromToId,0),COLUMN(Design_EndInv)),"NOTFOUND")</f>
        <v>NOTFOUND</v>
      </c>
    </row>
    <row r="83" spans="4:9" x14ac:dyDescent="0.25">
      <c r="D83" s="5" t="str">
        <f t="shared" si="8"/>
        <v>-</v>
      </c>
      <c r="F83" s="6" t="str">
        <f>_xlfn.IFNA(INDEX(Design,MATCH(D83,Design_FromToId,0),COLUMN(Design_Slope)),"NOTFOUND")</f>
        <v>NOTFOUND</v>
      </c>
      <c r="H83" s="7" t="str">
        <f>_xlfn.IFNA(INDEX(Design, MATCH(D83,Design_FromToId,0),COLUMN(Design_StartInv)),"NOTFOUND")</f>
        <v>NOTFOUND</v>
      </c>
      <c r="I83" s="7" t="str">
        <f>_xlfn.IFNA(INDEX(Design, MATCH(D83,Design_FromToId,0),COLUMN(Design_EndInv)),"NOTFOUND")</f>
        <v>NOTFOUND</v>
      </c>
    </row>
    <row r="84" spans="4:9" x14ac:dyDescent="0.25">
      <c r="D84" s="5" t="str">
        <f t="shared" si="8"/>
        <v>-</v>
      </c>
      <c r="F84" s="6" t="str">
        <f>_xlfn.IFNA(INDEX(Design,MATCH(D84,Design_FromToId,0),COLUMN(Design_Slope)),"NOTFOUND")</f>
        <v>NOTFOUND</v>
      </c>
      <c r="H84" s="7" t="str">
        <f>_xlfn.IFNA(INDEX(Design, MATCH(D84,Design_FromToId,0),COLUMN(Design_StartInv)),"NOTFOUND")</f>
        <v>NOTFOUND</v>
      </c>
      <c r="I84" s="7" t="str">
        <f>_xlfn.IFNA(INDEX(Design, MATCH(D84,Design_FromToId,0),COLUMN(Design_EndInv)),"NOTFOUND")</f>
        <v>NOTFOUND</v>
      </c>
    </row>
    <row r="85" spans="4:9" x14ac:dyDescent="0.25">
      <c r="D85" s="5" t="str">
        <f t="shared" si="8"/>
        <v>-</v>
      </c>
      <c r="F85" s="6" t="str">
        <f>_xlfn.IFNA(INDEX(Design,MATCH(D85,Design_FromToId,0),COLUMN(Design_Slope)),"NOTFOUND")</f>
        <v>NOTFOUND</v>
      </c>
      <c r="H85" s="7" t="str">
        <f>_xlfn.IFNA(INDEX(Design, MATCH(D85,Design_FromToId,0),COLUMN(Design_StartInv)),"NOTFOUND")</f>
        <v>NOTFOUND</v>
      </c>
      <c r="I85" s="7" t="str">
        <f>_xlfn.IFNA(INDEX(Design, MATCH(D85,Design_FromToId,0),COLUMN(Design_EndInv)),"NOTFOUND")</f>
        <v>NOTFOUND</v>
      </c>
    </row>
    <row r="86" spans="4:9" x14ac:dyDescent="0.25">
      <c r="D86" s="5" t="str">
        <f t="shared" si="8"/>
        <v>-</v>
      </c>
      <c r="F86" s="6" t="str">
        <f>_xlfn.IFNA(INDEX(Design,MATCH(D86,Design_FromToId,0),COLUMN(Design_Slope)),"NOTFOUND")</f>
        <v>NOTFOUND</v>
      </c>
      <c r="H86" s="7" t="str">
        <f>_xlfn.IFNA(INDEX(Design, MATCH(D86,Design_FromToId,0),COLUMN(Design_StartInv)),"NOTFOUND")</f>
        <v>NOTFOUND</v>
      </c>
      <c r="I86" s="7" t="str">
        <f>_xlfn.IFNA(INDEX(Design, MATCH(D86,Design_FromToId,0),COLUMN(Design_EndInv)),"NOTFOUND")</f>
        <v>NOTFOUND</v>
      </c>
    </row>
    <row r="87" spans="4:9" x14ac:dyDescent="0.25">
      <c r="D87" s="5" t="str">
        <f t="shared" si="8"/>
        <v>-</v>
      </c>
      <c r="F87" s="6" t="str">
        <f>_xlfn.IFNA(INDEX(Design,MATCH(D87,Design_FromToId,0),COLUMN(Design_Slope)),"NOTFOUND")</f>
        <v>NOTFOUND</v>
      </c>
      <c r="H87" s="7" t="str">
        <f>_xlfn.IFNA(INDEX(Design, MATCH(D87,Design_FromToId,0),COLUMN(Design_StartInv)),"NOTFOUND")</f>
        <v>NOTFOUND</v>
      </c>
      <c r="I87" s="7" t="str">
        <f>_xlfn.IFNA(INDEX(Design, MATCH(D87,Design_FromToId,0),COLUMN(Design_EndInv)),"NOTFOUND")</f>
        <v>NOTFOUND</v>
      </c>
    </row>
    <row r="88" spans="4:9" x14ac:dyDescent="0.25">
      <c r="D88" s="5" t="str">
        <f t="shared" si="8"/>
        <v>-</v>
      </c>
      <c r="F88" s="6" t="str">
        <f>_xlfn.IFNA(INDEX(Design,MATCH(D88,Design_FromToId,0),COLUMN(Design_Slope)),"NOTFOUND")</f>
        <v>NOTFOUND</v>
      </c>
      <c r="H88" s="7" t="str">
        <f>_xlfn.IFNA(INDEX(Design, MATCH(D88,Design_FromToId,0),COLUMN(Design_StartInv)),"NOTFOUND")</f>
        <v>NOTFOUND</v>
      </c>
      <c r="I88" s="7" t="str">
        <f>_xlfn.IFNA(INDEX(Design, MATCH(D88,Design_FromToId,0),COLUMN(Design_EndInv)),"NOTFOUND")</f>
        <v>NOTFOUND</v>
      </c>
    </row>
    <row r="89" spans="4:9" x14ac:dyDescent="0.25">
      <c r="D89" s="5" t="str">
        <f t="shared" si="8"/>
        <v>-</v>
      </c>
      <c r="F89" s="6" t="str">
        <f>_xlfn.IFNA(INDEX(Design,MATCH(D89,Design_FromToId,0),COLUMN(Design_Slope)),"NOTFOUND")</f>
        <v>NOTFOUND</v>
      </c>
      <c r="H89" s="7" t="str">
        <f>_xlfn.IFNA(INDEX(Design, MATCH(D89,Design_FromToId,0),COLUMN(Design_StartInv)),"NOTFOUND")</f>
        <v>NOTFOUND</v>
      </c>
      <c r="I89" s="7" t="str">
        <f>_xlfn.IFNA(INDEX(Design, MATCH(D89,Design_FromToId,0),COLUMN(Design_EndInv)),"NOTFOUND")</f>
        <v>NOTFOUND</v>
      </c>
    </row>
    <row r="90" spans="4:9" x14ac:dyDescent="0.25">
      <c r="D90" s="5" t="str">
        <f t="shared" si="8"/>
        <v>-</v>
      </c>
      <c r="F90" s="6" t="str">
        <f>_xlfn.IFNA(INDEX(Design,MATCH(D90,Design_FromToId,0),COLUMN(Design_Slope)),"NOTFOUND")</f>
        <v>NOTFOUND</v>
      </c>
      <c r="H90" s="7" t="str">
        <f>_xlfn.IFNA(INDEX(Design, MATCH(D90,Design_FromToId,0),COLUMN(Design_StartInv)),"NOTFOUND")</f>
        <v>NOTFOUND</v>
      </c>
      <c r="I90" s="7" t="str">
        <f>_xlfn.IFNA(INDEX(Design, MATCH(D90,Design_FromToId,0),COLUMN(Design_EndInv)),"NOTFOUND")</f>
        <v>NOTFOUND</v>
      </c>
    </row>
    <row r="91" spans="4:9" x14ac:dyDescent="0.25">
      <c r="D91" s="5" t="str">
        <f t="shared" si="8"/>
        <v>-</v>
      </c>
      <c r="F91" s="6" t="str">
        <f>_xlfn.IFNA(INDEX(Design,MATCH(D91,Design_FromToId,0),COLUMN(Design_Slope)),"NOTFOUND")</f>
        <v>NOTFOUND</v>
      </c>
      <c r="H91" s="7" t="str">
        <f>_xlfn.IFNA(INDEX(Design, MATCH(D91,Design_FromToId,0),COLUMN(Design_StartInv)),"NOTFOUND")</f>
        <v>NOTFOUND</v>
      </c>
      <c r="I91" s="7" t="str">
        <f>_xlfn.IFNA(INDEX(Design, MATCH(D91,Design_FromToId,0),COLUMN(Design_EndInv)),"NOTFOUND")</f>
        <v>NOTFOUND</v>
      </c>
    </row>
    <row r="92" spans="4:9" x14ac:dyDescent="0.25">
      <c r="D92" s="5" t="str">
        <f t="shared" si="8"/>
        <v>-</v>
      </c>
      <c r="F92" s="6" t="str">
        <f>_xlfn.IFNA(INDEX(Design,MATCH(D92,Design_FromToId,0),COLUMN(Design_Slope)),"NOTFOUND")</f>
        <v>NOTFOUND</v>
      </c>
      <c r="H92" s="7" t="str">
        <f>_xlfn.IFNA(INDEX(Design, MATCH(D92,Design_FromToId,0),COLUMN(Design_StartInv)),"NOTFOUND")</f>
        <v>NOTFOUND</v>
      </c>
      <c r="I92" s="7" t="str">
        <f>_xlfn.IFNA(INDEX(Design, MATCH(D92,Design_FromToId,0),COLUMN(Design_EndInv)),"NOTFOUND")</f>
        <v>NOTFOUND</v>
      </c>
    </row>
    <row r="93" spans="4:9" x14ac:dyDescent="0.25">
      <c r="D93" s="5" t="str">
        <f t="shared" si="8"/>
        <v>-</v>
      </c>
      <c r="F93" s="6" t="str">
        <f>_xlfn.IFNA(INDEX(Design,MATCH(D93,Design_FromToId,0),COLUMN(Design_Slope)),"NOTFOUND")</f>
        <v>NOTFOUND</v>
      </c>
      <c r="H93" s="7" t="str">
        <f>_xlfn.IFNA(INDEX(Design, MATCH(D93,Design_FromToId,0),COLUMN(Design_StartInv)),"NOTFOUND")</f>
        <v>NOTFOUND</v>
      </c>
      <c r="I93" s="7" t="str">
        <f>_xlfn.IFNA(INDEX(Design, MATCH(D93,Design_FromToId,0),COLUMN(Design_EndInv)),"NOTFOUND")</f>
        <v>NOTFOUND</v>
      </c>
    </row>
    <row r="94" spans="4:9" x14ac:dyDescent="0.25">
      <c r="D94" s="5" t="str">
        <f t="shared" si="8"/>
        <v>-</v>
      </c>
      <c r="F94" s="6" t="str">
        <f>_xlfn.IFNA(INDEX(Design,MATCH(D94,Design_FromToId,0),COLUMN(Design_Slope)),"NOTFOUND")</f>
        <v>NOTFOUND</v>
      </c>
      <c r="H94" s="7" t="str">
        <f>_xlfn.IFNA(INDEX(Design, MATCH(D94,Design_FromToId,0),COLUMN(Design_StartInv)),"NOTFOUND")</f>
        <v>NOTFOUND</v>
      </c>
      <c r="I94" s="7" t="str">
        <f>_xlfn.IFNA(INDEX(Design, MATCH(D94,Design_FromToId,0),COLUMN(Design_EndInv)),"NOTFOUND")</f>
        <v>NOTFOUND</v>
      </c>
    </row>
    <row r="95" spans="4:9" x14ac:dyDescent="0.25">
      <c r="D95" s="5" t="str">
        <f t="shared" si="8"/>
        <v>-</v>
      </c>
      <c r="F95" s="6" t="str">
        <f>_xlfn.IFNA(INDEX(Design,MATCH(D95,Design_FromToId,0),COLUMN(Design_Slope)),"NOTFOUND")</f>
        <v>NOTFOUND</v>
      </c>
      <c r="H95" s="7" t="str">
        <f>_xlfn.IFNA(INDEX(Design, MATCH(D95,Design_FromToId,0),COLUMN(Design_StartInv)),"NOTFOUND")</f>
        <v>NOTFOUND</v>
      </c>
      <c r="I95" s="7" t="str">
        <f>_xlfn.IFNA(INDEX(Design, MATCH(D95,Design_FromToId,0),COLUMN(Design_EndInv)),"NOTFOUND")</f>
        <v>NOTFOUND</v>
      </c>
    </row>
    <row r="96" spans="4:9" x14ac:dyDescent="0.25">
      <c r="D96" s="5" t="str">
        <f t="shared" si="8"/>
        <v>-</v>
      </c>
      <c r="F96" s="6" t="str">
        <f>_xlfn.IFNA(INDEX(Design,MATCH(D96,Design_FromToId,0),COLUMN(Design_Slope)),"NOTFOUND")</f>
        <v>NOTFOUND</v>
      </c>
      <c r="H96" s="7" t="str">
        <f>_xlfn.IFNA(INDEX(Design, MATCH(D96,Design_FromToId,0),COLUMN(Design_StartInv)),"NOTFOUND")</f>
        <v>NOTFOUND</v>
      </c>
      <c r="I96" s="7" t="str">
        <f>_xlfn.IFNA(INDEX(Design, MATCH(D96,Design_FromToId,0),COLUMN(Design_EndInv)),"NOTFOUND")</f>
        <v>NOTFOUND</v>
      </c>
    </row>
    <row r="97" spans="4:9" x14ac:dyDescent="0.25">
      <c r="D97" s="5" t="str">
        <f t="shared" si="8"/>
        <v>-</v>
      </c>
      <c r="F97" s="6" t="str">
        <f>_xlfn.IFNA(INDEX(Design,MATCH(D97,Design_FromToId,0),COLUMN(Design_Slope)),"NOTFOUND")</f>
        <v>NOTFOUND</v>
      </c>
      <c r="H97" s="7" t="str">
        <f>_xlfn.IFNA(INDEX(Design, MATCH(D97,Design_FromToId,0),COLUMN(Design_StartInv)),"NOTFOUND")</f>
        <v>NOTFOUND</v>
      </c>
      <c r="I97" s="7" t="str">
        <f>_xlfn.IFNA(INDEX(Design, MATCH(D97,Design_FromToId,0),COLUMN(Design_EndInv)),"NOTFOUND")</f>
        <v>NOTFOUND</v>
      </c>
    </row>
    <row r="98" spans="4:9" x14ac:dyDescent="0.25">
      <c r="D98" s="5" t="str">
        <f t="shared" si="8"/>
        <v>-</v>
      </c>
      <c r="F98" s="6" t="str">
        <f>_xlfn.IFNA(INDEX(Design,MATCH(D98,Design_FromToId,0),COLUMN(Design_Slope)),"NOTFOUND")</f>
        <v>NOTFOUND</v>
      </c>
      <c r="H98" s="7" t="str">
        <f>_xlfn.IFNA(INDEX(Design, MATCH(D98,Design_FromToId,0),COLUMN(Design_StartInv)),"NOTFOUND")</f>
        <v>NOTFOUND</v>
      </c>
      <c r="I98" s="7" t="str">
        <f>_xlfn.IFNA(INDEX(Design, MATCH(D98,Design_FromToId,0),COLUMN(Design_EndInv)),"NOTFOUND")</f>
        <v>NOTFOUND</v>
      </c>
    </row>
    <row r="99" spans="4:9" x14ac:dyDescent="0.25">
      <c r="D99" s="5" t="str">
        <f t="shared" si="8"/>
        <v>-</v>
      </c>
      <c r="F99" s="6" t="str">
        <f>_xlfn.IFNA(INDEX(Design,MATCH(D99,Design_FromToId,0),COLUMN(Design_Slope)),"NOTFOUND")</f>
        <v>NOTFOUND</v>
      </c>
      <c r="H99" s="7" t="str">
        <f>_xlfn.IFNA(INDEX(Design, MATCH(D99,Design_FromToId,0),COLUMN(Design_StartInv)),"NOTFOUND")</f>
        <v>NOTFOUND</v>
      </c>
      <c r="I99" s="7" t="str">
        <f>_xlfn.IFNA(INDEX(Design, MATCH(D99,Design_FromToId,0),COLUMN(Design_EndInv)),"NOTFOUND")</f>
        <v>NOTFOUND</v>
      </c>
    </row>
    <row r="100" spans="4:9" x14ac:dyDescent="0.25">
      <c r="D100" s="5" t="str">
        <f t="shared" si="8"/>
        <v>-</v>
      </c>
      <c r="F100" s="6" t="str">
        <f>_xlfn.IFNA(INDEX(Design,MATCH(D100,Design_FromToId,0),COLUMN(Design_Slope)),"NOTFOUND")</f>
        <v>NOTFOUND</v>
      </c>
      <c r="H100" s="7" t="str">
        <f>_xlfn.IFNA(INDEX(Design, MATCH(D100,Design_FromToId,0),COLUMN(Design_StartInv)),"NOTFOUND")</f>
        <v>NOTFOUND</v>
      </c>
      <c r="I100" s="7" t="str">
        <f>_xlfn.IFNA(INDEX(Design, MATCH(D100,Design_FromToId,0),COLUMN(Design_EndInv)),"NOTFOUND")</f>
        <v>NOTFOUND</v>
      </c>
    </row>
    <row r="101" spans="4:9" x14ac:dyDescent="0.25">
      <c r="D101" s="5" t="str">
        <f t="shared" si="8"/>
        <v>-</v>
      </c>
      <c r="F101" s="6" t="str">
        <f>_xlfn.IFNA(INDEX(Design,MATCH(D101,Design_FromToId,0),COLUMN(Design_Slope)),"NOTFOUND")</f>
        <v>NOTFOUND</v>
      </c>
      <c r="H101" s="7" t="str">
        <f>_xlfn.IFNA(INDEX(Design, MATCH(D101,Design_FromToId,0),COLUMN(Design_StartInv)),"NOTFOUND")</f>
        <v>NOTFOUND</v>
      </c>
      <c r="I101" s="7" t="str">
        <f>_xlfn.IFNA(INDEX(Design, MATCH(D101,Design_FromToId,0),COLUMN(Design_EndInv)),"NOTFOUND")</f>
        <v>NOTFOUND</v>
      </c>
    </row>
    <row r="102" spans="4:9" x14ac:dyDescent="0.25">
      <c r="D102" s="5" t="str">
        <f t="shared" si="8"/>
        <v>-</v>
      </c>
      <c r="F102" s="6" t="str">
        <f>_xlfn.IFNA(INDEX(Design,MATCH(D102,Design_FromToId,0),COLUMN(Design_Slope)),"NOTFOUND")</f>
        <v>NOTFOUND</v>
      </c>
      <c r="H102" s="7" t="str">
        <f>_xlfn.IFNA(INDEX(Design, MATCH(D102,Design_FromToId,0),COLUMN(Design_StartInv)),"NOTFOUND")</f>
        <v>NOTFOUND</v>
      </c>
      <c r="I102" s="7" t="str">
        <f>_xlfn.IFNA(INDEX(Design, MATCH(D102,Design_FromToId,0),COLUMN(Design_EndInv)),"NOTFOUND")</f>
        <v>NOTFOUND</v>
      </c>
    </row>
    <row r="103" spans="4:9" x14ac:dyDescent="0.25">
      <c r="D103" s="5" t="str">
        <f t="shared" si="8"/>
        <v>-</v>
      </c>
      <c r="F103" s="6" t="str">
        <f>_xlfn.IFNA(INDEX(Design,MATCH(D103,Design_FromToId,0),COLUMN(Design_Slope)),"NOTFOUND")</f>
        <v>NOTFOUND</v>
      </c>
      <c r="H103" s="7" t="str">
        <f>_xlfn.IFNA(INDEX(Design, MATCH(D103,Design_FromToId,0),COLUMN(Design_StartInv)),"NOTFOUND")</f>
        <v>NOTFOUND</v>
      </c>
      <c r="I103" s="7" t="str">
        <f>_xlfn.IFNA(INDEX(Design, MATCH(D103,Design_FromToId,0),COLUMN(Design_EndInv)),"NOTFOUND")</f>
        <v>NOTFOUND</v>
      </c>
    </row>
    <row r="104" spans="4:9" x14ac:dyDescent="0.25">
      <c r="D104" s="5" t="str">
        <f t="shared" si="8"/>
        <v>-</v>
      </c>
      <c r="F104" s="6" t="str">
        <f>_xlfn.IFNA(INDEX(Design,MATCH(D104,Design_FromToId,0),COLUMN(Design_Slope)),"NOTFOUND")</f>
        <v>NOTFOUND</v>
      </c>
      <c r="H104" s="7" t="str">
        <f>_xlfn.IFNA(INDEX(Design, MATCH(D104,Design_FromToId,0),COLUMN(Design_StartInv)),"NOTFOUND")</f>
        <v>NOTFOUND</v>
      </c>
      <c r="I104" s="7" t="str">
        <f>_xlfn.IFNA(INDEX(Design, MATCH(D104,Design_FromToId,0),COLUMN(Design_EndInv)),"NOTFOUND")</f>
        <v>NOTFOUND</v>
      </c>
    </row>
    <row r="105" spans="4:9" x14ac:dyDescent="0.25">
      <c r="D105" s="5" t="str">
        <f t="shared" si="8"/>
        <v>-</v>
      </c>
      <c r="F105" s="6" t="str">
        <f>_xlfn.IFNA(INDEX(Design,MATCH(D105,Design_FromToId,0),COLUMN(Design_Slope)),"NOTFOUND")</f>
        <v>NOTFOUND</v>
      </c>
      <c r="H105" s="7" t="str">
        <f>_xlfn.IFNA(INDEX(Design, MATCH(D105,Design_FromToId,0),COLUMN(Design_StartInv)),"NOTFOUND")</f>
        <v>NOTFOUND</v>
      </c>
      <c r="I105" s="7" t="str">
        <f>_xlfn.IFNA(INDEX(Design, MATCH(D105,Design_FromToId,0),COLUMN(Design_EndInv)),"NOTFOUND")</f>
        <v>NOTFOUND</v>
      </c>
    </row>
    <row r="106" spans="4:9" x14ac:dyDescent="0.25">
      <c r="D106" s="5" t="str">
        <f t="shared" si="8"/>
        <v>-</v>
      </c>
      <c r="F106" s="6" t="str">
        <f>_xlfn.IFNA(INDEX(Design,MATCH(D106,Design_FromToId,0),COLUMN(Design_Slope)),"NOTFOUND")</f>
        <v>NOTFOUND</v>
      </c>
      <c r="H106" s="7" t="str">
        <f>_xlfn.IFNA(INDEX(Design, MATCH(D106,Design_FromToId,0),COLUMN(Design_StartInv)),"NOTFOUND")</f>
        <v>NOTFOUND</v>
      </c>
      <c r="I106" s="7" t="str">
        <f>_xlfn.IFNA(INDEX(Design, MATCH(D106,Design_FromToId,0),COLUMN(Design_EndInv)),"NOTFOUND")</f>
        <v>NOTFOUND</v>
      </c>
    </row>
    <row r="107" spans="4:9" x14ac:dyDescent="0.25">
      <c r="D107" s="5" t="str">
        <f t="shared" si="8"/>
        <v>-</v>
      </c>
      <c r="F107" s="6" t="str">
        <f>_xlfn.IFNA(INDEX(Design,MATCH(D107,Design_FromToId,0),COLUMN(Design_Slope)),"NOTFOUND")</f>
        <v>NOTFOUND</v>
      </c>
      <c r="H107" s="7" t="str">
        <f>_xlfn.IFNA(INDEX(Design, MATCH(D107,Design_FromToId,0),COLUMN(Design_StartInv)),"NOTFOUND")</f>
        <v>NOTFOUND</v>
      </c>
      <c r="I107" s="7" t="str">
        <f>_xlfn.IFNA(INDEX(Design, MATCH(D107,Design_FromToId,0),COLUMN(Design_EndInv)),"NOTFOUND")</f>
        <v>NOTFOUND</v>
      </c>
    </row>
    <row r="108" spans="4:9" x14ac:dyDescent="0.25">
      <c r="D108" s="5" t="str">
        <f t="shared" si="8"/>
        <v>-</v>
      </c>
      <c r="F108" s="6" t="str">
        <f>_xlfn.IFNA(INDEX(Design,MATCH(D108,Design_FromToId,0),COLUMN(Design_Slope)),"NOTFOUND")</f>
        <v>NOTFOUND</v>
      </c>
      <c r="H108" s="7" t="str">
        <f>_xlfn.IFNA(INDEX(Design, MATCH(D108,Design_FromToId,0),COLUMN(Design_StartInv)),"NOTFOUND")</f>
        <v>NOTFOUND</v>
      </c>
      <c r="I108" s="7" t="str">
        <f>_xlfn.IFNA(INDEX(Design, MATCH(D108,Design_FromToId,0),COLUMN(Design_EndInv)),"NOTFOUND")</f>
        <v>NOTFOUND</v>
      </c>
    </row>
    <row r="109" spans="4:9" x14ac:dyDescent="0.25">
      <c r="D109" s="5" t="str">
        <f t="shared" si="8"/>
        <v>-</v>
      </c>
      <c r="F109" s="6" t="str">
        <f>_xlfn.IFNA(INDEX(Design,MATCH(D109,Design_FromToId,0),COLUMN(Design_Slope)),"NOTFOUND")</f>
        <v>NOTFOUND</v>
      </c>
      <c r="H109" s="7" t="str">
        <f>_xlfn.IFNA(INDEX(Design, MATCH(D109,Design_FromToId,0),COLUMN(Design_StartInv)),"NOTFOUND")</f>
        <v>NOTFOUND</v>
      </c>
      <c r="I109" s="7" t="str">
        <f>_xlfn.IFNA(INDEX(Design, MATCH(D109,Design_FromToId,0),COLUMN(Design_EndInv)),"NOTFOUND")</f>
        <v>NOTFOUND</v>
      </c>
    </row>
    <row r="110" spans="4:9" x14ac:dyDescent="0.25">
      <c r="D110" s="5" t="str">
        <f t="shared" si="8"/>
        <v>-</v>
      </c>
      <c r="F110" s="6" t="str">
        <f>_xlfn.IFNA(INDEX(Design,MATCH(D110,Design_FromToId,0),COLUMN(Design_Slope)),"NOTFOUND")</f>
        <v>NOTFOUND</v>
      </c>
      <c r="H110" s="7" t="str">
        <f>_xlfn.IFNA(INDEX(Design, MATCH(D110,Design_FromToId,0),COLUMN(Design_StartInv)),"NOTFOUND")</f>
        <v>NOTFOUND</v>
      </c>
      <c r="I110" s="7" t="str">
        <f>_xlfn.IFNA(INDEX(Design, MATCH(D110,Design_FromToId,0),COLUMN(Design_EndInv)),"NOTFOUND")</f>
        <v>NOTFOUND</v>
      </c>
    </row>
    <row r="111" spans="4:9" x14ac:dyDescent="0.25">
      <c r="D111" s="5" t="str">
        <f t="shared" si="8"/>
        <v>-</v>
      </c>
      <c r="F111" s="6" t="str">
        <f>_xlfn.IFNA(INDEX(Design,MATCH(D111,Design_FromToId,0),COLUMN(Design_Slope)),"NOTFOUND")</f>
        <v>NOTFOUND</v>
      </c>
      <c r="H111" s="7" t="str">
        <f>_xlfn.IFNA(INDEX(Design, MATCH(D111,Design_FromToId,0),COLUMN(Design_StartInv)),"NOTFOUND")</f>
        <v>NOTFOUND</v>
      </c>
      <c r="I111" s="7" t="str">
        <f>_xlfn.IFNA(INDEX(Design, MATCH(D111,Design_FromToId,0),COLUMN(Design_EndInv)),"NOTFOUND")</f>
        <v>NOTFOUND</v>
      </c>
    </row>
    <row r="112" spans="4:9" x14ac:dyDescent="0.25">
      <c r="D112" s="5" t="str">
        <f t="shared" si="8"/>
        <v>-</v>
      </c>
      <c r="F112" s="6" t="str">
        <f>_xlfn.IFNA(INDEX(Design,MATCH(D112,Design_FromToId,0),COLUMN(Design_Slope)),"NOTFOUND")</f>
        <v>NOTFOUND</v>
      </c>
      <c r="H112" s="7" t="str">
        <f>_xlfn.IFNA(INDEX(Design, MATCH(D112,Design_FromToId,0),COLUMN(Design_StartInv)),"NOTFOUND")</f>
        <v>NOTFOUND</v>
      </c>
      <c r="I112" s="7" t="str">
        <f>_xlfn.IFNA(INDEX(Design, MATCH(D112,Design_FromToId,0),COLUMN(Design_EndInv)),"NOTFOUND")</f>
        <v>NOTFOUND</v>
      </c>
    </row>
    <row r="113" spans="4:9" x14ac:dyDescent="0.25">
      <c r="D113" s="5" t="str">
        <f t="shared" si="8"/>
        <v>-</v>
      </c>
      <c r="F113" s="6" t="str">
        <f>_xlfn.IFNA(INDEX(Design,MATCH(D113,Design_FromToId,0),COLUMN(Design_Slope)),"NOTFOUND")</f>
        <v>NOTFOUND</v>
      </c>
      <c r="H113" s="7" t="str">
        <f>_xlfn.IFNA(INDEX(Design, MATCH(D113,Design_FromToId,0),COLUMN(Design_StartInv)),"NOTFOUND")</f>
        <v>NOTFOUND</v>
      </c>
      <c r="I113" s="7" t="str">
        <f>_xlfn.IFNA(INDEX(Design, MATCH(D113,Design_FromToId,0),COLUMN(Design_EndInv)),"NOTFOUND")</f>
        <v>NOTFOUND</v>
      </c>
    </row>
    <row r="114" spans="4:9" x14ac:dyDescent="0.25">
      <c r="D114" s="5" t="str">
        <f t="shared" si="8"/>
        <v>-</v>
      </c>
      <c r="F114" s="6" t="str">
        <f>_xlfn.IFNA(INDEX(Design,MATCH(D114,Design_FromToId,0),COLUMN(Design_Slope)),"NOTFOUND")</f>
        <v>NOTFOUND</v>
      </c>
      <c r="H114" s="7" t="str">
        <f>_xlfn.IFNA(INDEX(Design, MATCH(D114,Design_FromToId,0),COLUMN(Design_StartInv)),"NOTFOUND")</f>
        <v>NOTFOUND</v>
      </c>
      <c r="I114" s="7" t="str">
        <f>_xlfn.IFNA(INDEX(Design, MATCH(D114,Design_FromToId,0),COLUMN(Design_EndInv)),"NOTFOUND")</f>
        <v>NOTFOUND</v>
      </c>
    </row>
    <row r="115" spans="4:9" x14ac:dyDescent="0.25">
      <c r="D115" s="5" t="str">
        <f t="shared" si="8"/>
        <v>-</v>
      </c>
      <c r="F115" s="6" t="str">
        <f>_xlfn.IFNA(INDEX(Design,MATCH(D115,Design_FromToId,0),COLUMN(Design_Slope)),"NOTFOUND")</f>
        <v>NOTFOUND</v>
      </c>
      <c r="H115" s="7" t="str">
        <f>_xlfn.IFNA(INDEX(Design, MATCH(D115,Design_FromToId,0),COLUMN(Design_StartInv)),"NOTFOUND")</f>
        <v>NOTFOUND</v>
      </c>
      <c r="I115" s="7" t="str">
        <f>_xlfn.IFNA(INDEX(Design, MATCH(D115,Design_FromToId,0),COLUMN(Design_EndInv)),"NOTFOUND")</f>
        <v>NOTFOUND</v>
      </c>
    </row>
    <row r="116" spans="4:9" x14ac:dyDescent="0.25">
      <c r="D116" s="5" t="str">
        <f t="shared" si="8"/>
        <v>-</v>
      </c>
      <c r="F116" s="6" t="str">
        <f>_xlfn.IFNA(INDEX(Design,MATCH(D116,Design_FromToId,0),COLUMN(Design_Slope)),"NOTFOUND")</f>
        <v>NOTFOUND</v>
      </c>
      <c r="H116" s="7" t="str">
        <f>_xlfn.IFNA(INDEX(Design, MATCH(D116,Design_FromToId,0),COLUMN(Design_StartInv)),"NOTFOUND")</f>
        <v>NOTFOUND</v>
      </c>
      <c r="I116" s="7" t="str">
        <f>_xlfn.IFNA(INDEX(Design, MATCH(D116,Design_FromToId,0),COLUMN(Design_EndInv)),"NOTFOUND")</f>
        <v>NOTFOUND</v>
      </c>
    </row>
    <row r="117" spans="4:9" x14ac:dyDescent="0.25">
      <c r="D117" s="5" t="str">
        <f t="shared" si="8"/>
        <v>-</v>
      </c>
      <c r="F117" s="6" t="str">
        <f>_xlfn.IFNA(INDEX(Design,MATCH(D117,Design_FromToId,0),COLUMN(Design_Slope)),"NOTFOUND")</f>
        <v>NOTFOUND</v>
      </c>
      <c r="H117" s="7" t="str">
        <f>_xlfn.IFNA(INDEX(Design, MATCH(D117,Design_FromToId,0),COLUMN(Design_StartInv)),"NOTFOUND")</f>
        <v>NOTFOUND</v>
      </c>
      <c r="I117" s="7" t="str">
        <f>_xlfn.IFNA(INDEX(Design, MATCH(D117,Design_FromToId,0),COLUMN(Design_EndInv)),"NOTFOUND")</f>
        <v>NOTFOUND</v>
      </c>
    </row>
    <row r="118" spans="4:9" x14ac:dyDescent="0.25">
      <c r="D118" s="5" t="str">
        <f t="shared" si="8"/>
        <v>-</v>
      </c>
      <c r="F118" s="6" t="str">
        <f>_xlfn.IFNA(INDEX(Design,MATCH(D118,Design_FromToId,0),COLUMN(Design_Slope)),"NOTFOUND")</f>
        <v>NOTFOUND</v>
      </c>
      <c r="H118" s="7" t="str">
        <f>_xlfn.IFNA(INDEX(Design, MATCH(D118,Design_FromToId,0),COLUMN(Design_StartInv)),"NOTFOUND")</f>
        <v>NOTFOUND</v>
      </c>
      <c r="I118" s="7" t="str">
        <f>_xlfn.IFNA(INDEX(Design, MATCH(D118,Design_FromToId,0),COLUMN(Design_EndInv)),"NOTFOUND")</f>
        <v>NOTFOUND</v>
      </c>
    </row>
    <row r="119" spans="4:9" x14ac:dyDescent="0.25">
      <c r="D119" s="5" t="str">
        <f t="shared" si="8"/>
        <v>-</v>
      </c>
      <c r="F119" s="6" t="str">
        <f>_xlfn.IFNA(INDEX(Design,MATCH(D119,Design_FromToId,0),COLUMN(Design_Slope)),"NOTFOUND")</f>
        <v>NOTFOUND</v>
      </c>
      <c r="H119" s="7" t="str">
        <f>_xlfn.IFNA(INDEX(Design, MATCH(D119,Design_FromToId,0),COLUMN(Design_StartInv)),"NOTFOUND")</f>
        <v>NOTFOUND</v>
      </c>
      <c r="I119" s="7" t="str">
        <f>_xlfn.IFNA(INDEX(Design, MATCH(D119,Design_FromToId,0),COLUMN(Design_EndInv)),"NOTFOUND")</f>
        <v>NOTFOUND</v>
      </c>
    </row>
    <row r="120" spans="4:9" x14ac:dyDescent="0.25">
      <c r="D120" s="5" t="str">
        <f t="shared" si="8"/>
        <v>-</v>
      </c>
      <c r="F120" s="6" t="str">
        <f>_xlfn.IFNA(INDEX(Design,MATCH(D120,Design_FromToId,0),COLUMN(Design_Slope)),"NOTFOUND")</f>
        <v>NOTFOUND</v>
      </c>
      <c r="H120" s="7" t="str">
        <f>_xlfn.IFNA(INDEX(Design, MATCH(D120,Design_FromToId,0),COLUMN(Design_StartInv)),"NOTFOUND")</f>
        <v>NOTFOUND</v>
      </c>
      <c r="I120" s="7" t="str">
        <f>_xlfn.IFNA(INDEX(Design, MATCH(D120,Design_FromToId,0),COLUMN(Design_EndInv)),"NOTFOUND")</f>
        <v>NOTFOUND</v>
      </c>
    </row>
    <row r="121" spans="4:9" x14ac:dyDescent="0.25">
      <c r="D121" s="5" t="str">
        <f t="shared" si="8"/>
        <v>-</v>
      </c>
      <c r="F121" s="6" t="str">
        <f>_xlfn.IFNA(INDEX(Design,MATCH(D121,Design_FromToId,0),COLUMN(Design_Slope)),"NOTFOUND")</f>
        <v>NOTFOUND</v>
      </c>
      <c r="H121" s="7" t="str">
        <f>_xlfn.IFNA(INDEX(Design, MATCH(D121,Design_FromToId,0),COLUMN(Design_StartInv)),"NOTFOUND")</f>
        <v>NOTFOUND</v>
      </c>
      <c r="I121" s="7" t="str">
        <f>_xlfn.IFNA(INDEX(Design, MATCH(D121,Design_FromToId,0),COLUMN(Design_EndInv)),"NOTFOUND")</f>
        <v>NOTFOUND</v>
      </c>
    </row>
    <row r="122" spans="4:9" x14ac:dyDescent="0.25">
      <c r="D122" s="5" t="str">
        <f t="shared" si="8"/>
        <v>-</v>
      </c>
      <c r="F122" s="6" t="str">
        <f>_xlfn.IFNA(INDEX(Design,MATCH(D122,Design_FromToId,0),COLUMN(Design_Slope)),"NOTFOUND")</f>
        <v>NOTFOUND</v>
      </c>
      <c r="H122" s="7" t="str">
        <f>_xlfn.IFNA(INDEX(Design, MATCH(D122,Design_FromToId,0),COLUMN(Design_StartInv)),"NOTFOUND")</f>
        <v>NOTFOUND</v>
      </c>
      <c r="I122" s="7" t="str">
        <f>_xlfn.IFNA(INDEX(Design, MATCH(D122,Design_FromToId,0),COLUMN(Design_EndInv)),"NOTFOUND")</f>
        <v>NOTFOUND</v>
      </c>
    </row>
    <row r="123" spans="4:9" x14ac:dyDescent="0.25">
      <c r="D123" s="5" t="str">
        <f t="shared" si="8"/>
        <v>-</v>
      </c>
      <c r="F123" s="6" t="str">
        <f>_xlfn.IFNA(INDEX(Design,MATCH(D123,Design_FromToId,0),COLUMN(Design_Slope)),"NOTFOUND")</f>
        <v>NOTFOUND</v>
      </c>
      <c r="H123" s="7" t="str">
        <f>_xlfn.IFNA(INDEX(Design, MATCH(D123,Design_FromToId,0),COLUMN(Design_StartInv)),"NOTFOUND")</f>
        <v>NOTFOUND</v>
      </c>
      <c r="I123" s="7" t="str">
        <f>_xlfn.IFNA(INDEX(Design, MATCH(D123,Design_FromToId,0),COLUMN(Design_EndInv)),"NOTFOUND")</f>
        <v>NOTFOUND</v>
      </c>
    </row>
    <row r="124" spans="4:9" x14ac:dyDescent="0.25">
      <c r="D124" s="5" t="str">
        <f t="shared" si="8"/>
        <v>-</v>
      </c>
      <c r="F124" s="6" t="str">
        <f>_xlfn.IFNA(INDEX(Design,MATCH(D124,Design_FromToId,0),COLUMN(Design_Slope)),"NOTFOUND")</f>
        <v>NOTFOUND</v>
      </c>
      <c r="H124" s="7" t="str">
        <f>_xlfn.IFNA(INDEX(Design, MATCH(D124,Design_FromToId,0),COLUMN(Design_StartInv)),"NOTFOUND")</f>
        <v>NOTFOUND</v>
      </c>
      <c r="I124" s="7" t="str">
        <f>_xlfn.IFNA(INDEX(Design, MATCH(D124,Design_FromToId,0),COLUMN(Design_EndInv)),"NOTFOUND")</f>
        <v>NOTFOUND</v>
      </c>
    </row>
    <row r="125" spans="4:9" x14ac:dyDescent="0.25">
      <c r="D125" s="5" t="str">
        <f t="shared" si="8"/>
        <v>-</v>
      </c>
      <c r="F125" s="6" t="str">
        <f>_xlfn.IFNA(INDEX(Design,MATCH(D125,Design_FromToId,0),COLUMN(Design_Slope)),"NOTFOUND")</f>
        <v>NOTFOUND</v>
      </c>
      <c r="H125" s="7" t="str">
        <f>_xlfn.IFNA(INDEX(Design, MATCH(D125,Design_FromToId,0),COLUMN(Design_StartInv)),"NOTFOUND")</f>
        <v>NOTFOUND</v>
      </c>
      <c r="I125" s="7" t="str">
        <f>_xlfn.IFNA(INDEX(Design, MATCH(D125,Design_FromToId,0),COLUMN(Design_EndInv)),"NOTFOUND")</f>
        <v>NOTFOUND</v>
      </c>
    </row>
    <row r="126" spans="4:9" x14ac:dyDescent="0.25">
      <c r="D126" s="5" t="str">
        <f t="shared" si="8"/>
        <v>-</v>
      </c>
      <c r="F126" s="6" t="str">
        <f>_xlfn.IFNA(INDEX(Design,MATCH(D126,Design_FromToId,0),COLUMN(Design_Slope)),"NOTFOUND")</f>
        <v>NOTFOUND</v>
      </c>
      <c r="H126" s="7" t="str">
        <f>_xlfn.IFNA(INDEX(Design, MATCH(D126,Design_FromToId,0),COLUMN(Design_StartInv)),"NOTFOUND")</f>
        <v>NOTFOUND</v>
      </c>
      <c r="I126" s="7" t="str">
        <f>_xlfn.IFNA(INDEX(Design, MATCH(D126,Design_FromToId,0),COLUMN(Design_EndInv)),"NOTFOUND")</f>
        <v>NOTFOUND</v>
      </c>
    </row>
    <row r="127" spans="4:9" x14ac:dyDescent="0.25">
      <c r="D127" s="5" t="str">
        <f t="shared" si="8"/>
        <v>-</v>
      </c>
      <c r="F127" s="6" t="str">
        <f>_xlfn.IFNA(INDEX(Design,MATCH(D127,Design_FromToId,0),COLUMN(Design_Slope)),"NOTFOUND")</f>
        <v>NOTFOUND</v>
      </c>
      <c r="H127" s="7" t="str">
        <f>_xlfn.IFNA(INDEX(Design, MATCH(D127,Design_FromToId,0),COLUMN(Design_StartInv)),"NOTFOUND")</f>
        <v>NOTFOUND</v>
      </c>
      <c r="I127" s="7" t="str">
        <f>_xlfn.IFNA(INDEX(Design, MATCH(D127,Design_FromToId,0),COLUMN(Design_EndInv)),"NOTFOUND")</f>
        <v>NOTFOUND</v>
      </c>
    </row>
    <row r="128" spans="4:9" x14ac:dyDescent="0.25">
      <c r="D128" s="5" t="str">
        <f t="shared" si="8"/>
        <v>-</v>
      </c>
      <c r="F128" s="6" t="str">
        <f>_xlfn.IFNA(INDEX(Design,MATCH(D128,Design_FromToId,0),COLUMN(Design_Slope)),"NOTFOUND")</f>
        <v>NOTFOUND</v>
      </c>
      <c r="H128" s="7" t="str">
        <f>_xlfn.IFNA(INDEX(Design, MATCH(D128,Design_FromToId,0),COLUMN(Design_StartInv)),"NOTFOUND")</f>
        <v>NOTFOUND</v>
      </c>
      <c r="I128" s="7" t="str">
        <f>_xlfn.IFNA(INDEX(Design, MATCH(D128,Design_FromToId,0),COLUMN(Design_EndInv)),"NOTFOUND")</f>
        <v>NOTFOUND</v>
      </c>
    </row>
    <row r="129" spans="4:9" x14ac:dyDescent="0.25">
      <c r="D129" s="5" t="str">
        <f t="shared" si="8"/>
        <v>-</v>
      </c>
      <c r="F129" s="6" t="str">
        <f>_xlfn.IFNA(INDEX(Design,MATCH(D129,Design_FromToId,0),COLUMN(Design_Slope)),"NOTFOUND")</f>
        <v>NOTFOUND</v>
      </c>
      <c r="H129" s="7" t="str">
        <f>_xlfn.IFNA(INDEX(Design, MATCH(D129,Design_FromToId,0),COLUMN(Design_StartInv)),"NOTFOUND")</f>
        <v>NOTFOUND</v>
      </c>
      <c r="I129" s="7" t="str">
        <f>_xlfn.IFNA(INDEX(Design, MATCH(D129,Design_FromToId,0),COLUMN(Design_EndInv)),"NOTFOUND")</f>
        <v>NOTFOUND</v>
      </c>
    </row>
    <row r="130" spans="4:9" x14ac:dyDescent="0.25">
      <c r="D130" s="5" t="str">
        <f t="shared" si="8"/>
        <v>-</v>
      </c>
      <c r="F130" s="6" t="str">
        <f>_xlfn.IFNA(INDEX(Design,MATCH(D130,Design_FromToId,0),COLUMN(Design_Slope)),"NOTFOUND")</f>
        <v>NOTFOUND</v>
      </c>
      <c r="H130" s="7" t="str">
        <f>_xlfn.IFNA(INDEX(Design, MATCH(D130,Design_FromToId,0),COLUMN(Design_StartInv)),"NOTFOUND")</f>
        <v>NOTFOUND</v>
      </c>
      <c r="I130" s="7" t="str">
        <f>_xlfn.IFNA(INDEX(Design, MATCH(D130,Design_FromToId,0),COLUMN(Design_EndInv)),"NOTFOUND")</f>
        <v>NOTFOUND</v>
      </c>
    </row>
    <row r="131" spans="4:9" x14ac:dyDescent="0.25">
      <c r="D131" s="5" t="str">
        <f t="shared" si="8"/>
        <v>-</v>
      </c>
      <c r="F131" s="6" t="str">
        <f>_xlfn.IFNA(INDEX(Design,MATCH(D131,Design_FromToId,0),COLUMN(Design_Slope)),"NOTFOUND")</f>
        <v>NOTFOUND</v>
      </c>
      <c r="H131" s="7" t="str">
        <f>_xlfn.IFNA(INDEX(Design, MATCH(D131,Design_FromToId,0),COLUMN(Design_StartInv)),"NOTFOUND")</f>
        <v>NOTFOUND</v>
      </c>
      <c r="I131" s="7" t="str">
        <f>_xlfn.IFNA(INDEX(Design, MATCH(D131,Design_FromToId,0),COLUMN(Design_EndInv)),"NOTFOUND")</f>
        <v>NOTFOUND</v>
      </c>
    </row>
    <row r="132" spans="4:9" x14ac:dyDescent="0.25">
      <c r="D132" s="5" t="str">
        <f t="shared" si="8"/>
        <v>-</v>
      </c>
      <c r="F132" s="6" t="str">
        <f>_xlfn.IFNA(INDEX(Design,MATCH(D132,Design_FromToId,0),COLUMN(Design_Slope)),"NOTFOUND")</f>
        <v>NOTFOUND</v>
      </c>
      <c r="H132" s="7" t="str">
        <f>_xlfn.IFNA(INDEX(Design, MATCH(D132,Design_FromToId,0),COLUMN(Design_StartInv)),"NOTFOUND")</f>
        <v>NOTFOUND</v>
      </c>
      <c r="I132" s="7" t="str">
        <f>_xlfn.IFNA(INDEX(Design, MATCH(D132,Design_FromToId,0),COLUMN(Design_EndInv)),"NOTFOUND")</f>
        <v>NOTFOUND</v>
      </c>
    </row>
    <row r="133" spans="4:9" x14ac:dyDescent="0.25">
      <c r="D133" s="5" t="str">
        <f t="shared" si="8"/>
        <v>-</v>
      </c>
      <c r="F133" s="6" t="str">
        <f>_xlfn.IFNA(INDEX(Design,MATCH(D133,Design_FromToId,0),COLUMN(Design_Slope)),"NOTFOUND")</f>
        <v>NOTFOUND</v>
      </c>
      <c r="H133" s="7" t="str">
        <f>_xlfn.IFNA(INDEX(Design, MATCH(D133,Design_FromToId,0),COLUMN(Design_StartInv)),"NOTFOUND")</f>
        <v>NOTFOUND</v>
      </c>
      <c r="I133" s="7" t="str">
        <f>_xlfn.IFNA(INDEX(Design, MATCH(D133,Design_FromToId,0),COLUMN(Design_EndInv)),"NOTFOUND")</f>
        <v>NOTFOUND</v>
      </c>
    </row>
    <row r="134" spans="4:9" x14ac:dyDescent="0.25">
      <c r="D134" s="5" t="str">
        <f t="shared" si="8"/>
        <v>-</v>
      </c>
      <c r="F134" s="6" t="str">
        <f>_xlfn.IFNA(INDEX(Design,MATCH(D134,Design_FromToId,0),COLUMN(Design_Slope)),"NOTFOUND")</f>
        <v>NOTFOUND</v>
      </c>
      <c r="H134" s="7" t="str">
        <f>_xlfn.IFNA(INDEX(Design, MATCH(D134,Design_FromToId,0),COLUMN(Design_StartInv)),"NOTFOUND")</f>
        <v>NOTFOUND</v>
      </c>
      <c r="I134" s="7" t="str">
        <f>_xlfn.IFNA(INDEX(Design, MATCH(D134,Design_FromToId,0),COLUMN(Design_EndInv)),"NOTFOUND")</f>
        <v>NOTFOUND</v>
      </c>
    </row>
    <row r="135" spans="4:9" x14ac:dyDescent="0.25">
      <c r="D135" s="5" t="str">
        <f t="shared" si="8"/>
        <v>-</v>
      </c>
      <c r="F135" s="6" t="str">
        <f>_xlfn.IFNA(INDEX(Design,MATCH(D135,Design_FromToId,0),COLUMN(Design_Slope)),"NOTFOUND")</f>
        <v>NOTFOUND</v>
      </c>
      <c r="H135" s="7" t="str">
        <f>_xlfn.IFNA(INDEX(Design, MATCH(D135,Design_FromToId,0),COLUMN(Design_StartInv)),"NOTFOUND")</f>
        <v>NOTFOUND</v>
      </c>
      <c r="I135" s="7" t="str">
        <f>_xlfn.IFNA(INDEX(Design, MATCH(D135,Design_FromToId,0),COLUMN(Design_EndInv)),"NOTFOUND")</f>
        <v>NOTFOUND</v>
      </c>
    </row>
    <row r="136" spans="4:9" x14ac:dyDescent="0.25">
      <c r="D136" s="5" t="str">
        <f t="shared" si="8"/>
        <v>-</v>
      </c>
      <c r="F136" s="6" t="str">
        <f>_xlfn.IFNA(INDEX(Design,MATCH(D136,Design_FromToId,0),COLUMN(Design_Slope)),"NOTFOUND")</f>
        <v>NOTFOUND</v>
      </c>
      <c r="H136" s="7" t="str">
        <f>_xlfn.IFNA(INDEX(Design, MATCH(D136,Design_FromToId,0),COLUMN(Design_StartInv)),"NOTFOUND")</f>
        <v>NOTFOUND</v>
      </c>
      <c r="I136" s="7" t="str">
        <f>_xlfn.IFNA(INDEX(Design, MATCH(D136,Design_FromToId,0),COLUMN(Design_EndInv)),"NOTFOUND")</f>
        <v>NOTFOUND</v>
      </c>
    </row>
    <row r="137" spans="4:9" x14ac:dyDescent="0.25">
      <c r="D137" s="5" t="str">
        <f t="shared" si="8"/>
        <v>-</v>
      </c>
      <c r="F137" s="6" t="str">
        <f>_xlfn.IFNA(INDEX(Design,MATCH(D137,Design_FromToId,0),COLUMN(Design_Slope)),"NOTFOUND")</f>
        <v>NOTFOUND</v>
      </c>
      <c r="H137" s="7" t="str">
        <f>_xlfn.IFNA(INDEX(Design, MATCH(D137,Design_FromToId,0),COLUMN(Design_StartInv)),"NOTFOUND")</f>
        <v>NOTFOUND</v>
      </c>
      <c r="I137" s="7" t="str">
        <f>_xlfn.IFNA(INDEX(Design, MATCH(D137,Design_FromToId,0),COLUMN(Design_EndInv)),"NOTFOUND")</f>
        <v>NOTFOUND</v>
      </c>
    </row>
    <row r="138" spans="4:9" x14ac:dyDescent="0.25">
      <c r="D138" s="5" t="str">
        <f t="shared" ref="D138:D201" si="9">_xlfn.CONCAT(B138,"-",C138)</f>
        <v>-</v>
      </c>
      <c r="F138" s="6" t="str">
        <f>_xlfn.IFNA(INDEX(Design,MATCH(D138,Design_FromToId,0),COLUMN(Design_Slope)),"NOTFOUND")</f>
        <v>NOTFOUND</v>
      </c>
      <c r="H138" s="7" t="str">
        <f>_xlfn.IFNA(INDEX(Design, MATCH(D138,Design_FromToId,0),COLUMN(Design_StartInv)),"NOTFOUND")</f>
        <v>NOTFOUND</v>
      </c>
      <c r="I138" s="7" t="str">
        <f>_xlfn.IFNA(INDEX(Design, MATCH(D138,Design_FromToId,0),COLUMN(Design_EndInv)),"NOTFOUND")</f>
        <v>NOTFOUND</v>
      </c>
    </row>
    <row r="139" spans="4:9" x14ac:dyDescent="0.25">
      <c r="D139" s="5" t="str">
        <f t="shared" si="9"/>
        <v>-</v>
      </c>
      <c r="F139" s="6" t="str">
        <f>_xlfn.IFNA(INDEX(Design,MATCH(D139,Design_FromToId,0),COLUMN(Design_Slope)),"NOTFOUND")</f>
        <v>NOTFOUND</v>
      </c>
      <c r="H139" s="7" t="str">
        <f>_xlfn.IFNA(INDEX(Design, MATCH(D139,Design_FromToId,0),COLUMN(Design_StartInv)),"NOTFOUND")</f>
        <v>NOTFOUND</v>
      </c>
      <c r="I139" s="7" t="str">
        <f>_xlfn.IFNA(INDEX(Design, MATCH(D139,Design_FromToId,0),COLUMN(Design_EndInv)),"NOTFOUND")</f>
        <v>NOTFOUND</v>
      </c>
    </row>
    <row r="140" spans="4:9" x14ac:dyDescent="0.25">
      <c r="D140" s="5" t="str">
        <f t="shared" si="9"/>
        <v>-</v>
      </c>
      <c r="F140" s="6" t="str">
        <f>_xlfn.IFNA(INDEX(Design,MATCH(D140,Design_FromToId,0),COLUMN(Design_Slope)),"NOTFOUND")</f>
        <v>NOTFOUND</v>
      </c>
      <c r="H140" s="7" t="str">
        <f>_xlfn.IFNA(INDEX(Design, MATCH(D140,Design_FromToId,0),COLUMN(Design_StartInv)),"NOTFOUND")</f>
        <v>NOTFOUND</v>
      </c>
      <c r="I140" s="7" t="str">
        <f>_xlfn.IFNA(INDEX(Design, MATCH(D140,Design_FromToId,0),COLUMN(Design_EndInv)),"NOTFOUND")</f>
        <v>NOTFOUND</v>
      </c>
    </row>
    <row r="141" spans="4:9" x14ac:dyDescent="0.25">
      <c r="D141" s="5" t="str">
        <f t="shared" si="9"/>
        <v>-</v>
      </c>
      <c r="F141" s="6" t="str">
        <f>_xlfn.IFNA(INDEX(Design,MATCH(D141,Design_FromToId,0),COLUMN(Design_Slope)),"NOTFOUND")</f>
        <v>NOTFOUND</v>
      </c>
      <c r="H141" s="7" t="str">
        <f>_xlfn.IFNA(INDEX(Design, MATCH(D141,Design_FromToId,0),COLUMN(Design_StartInv)),"NOTFOUND")</f>
        <v>NOTFOUND</v>
      </c>
      <c r="I141" s="7" t="str">
        <f>_xlfn.IFNA(INDEX(Design, MATCH(D141,Design_FromToId,0),COLUMN(Design_EndInv)),"NOTFOUND")</f>
        <v>NOTFOUND</v>
      </c>
    </row>
    <row r="142" spans="4:9" x14ac:dyDescent="0.25">
      <c r="D142" s="5" t="str">
        <f t="shared" si="9"/>
        <v>-</v>
      </c>
      <c r="F142" s="6" t="str">
        <f>_xlfn.IFNA(INDEX(Design,MATCH(D142,Design_FromToId,0),COLUMN(Design_Slope)),"NOTFOUND")</f>
        <v>NOTFOUND</v>
      </c>
      <c r="H142" s="7" t="str">
        <f>_xlfn.IFNA(INDEX(Design, MATCH(D142,Design_FromToId,0),COLUMN(Design_StartInv)),"NOTFOUND")</f>
        <v>NOTFOUND</v>
      </c>
      <c r="I142" s="7" t="str">
        <f>_xlfn.IFNA(INDEX(Design, MATCH(D142,Design_FromToId,0),COLUMN(Design_EndInv)),"NOTFOUND")</f>
        <v>NOTFOUND</v>
      </c>
    </row>
    <row r="143" spans="4:9" x14ac:dyDescent="0.25">
      <c r="D143" s="5" t="str">
        <f t="shared" si="9"/>
        <v>-</v>
      </c>
      <c r="F143" s="6" t="str">
        <f>_xlfn.IFNA(INDEX(Design,MATCH(D143,Design_FromToId,0),COLUMN(Design_Slope)),"NOTFOUND")</f>
        <v>NOTFOUND</v>
      </c>
      <c r="H143" s="7" t="str">
        <f>_xlfn.IFNA(INDEX(Design, MATCH(D143,Design_FromToId,0),COLUMN(Design_StartInv)),"NOTFOUND")</f>
        <v>NOTFOUND</v>
      </c>
      <c r="I143" s="7" t="str">
        <f>_xlfn.IFNA(INDEX(Design, MATCH(D143,Design_FromToId,0),COLUMN(Design_EndInv)),"NOTFOUND")</f>
        <v>NOTFOUND</v>
      </c>
    </row>
    <row r="144" spans="4:9" x14ac:dyDescent="0.25">
      <c r="D144" s="5" t="str">
        <f t="shared" si="9"/>
        <v>-</v>
      </c>
      <c r="F144" s="6" t="str">
        <f>_xlfn.IFNA(INDEX(Design,MATCH(D144,Design_FromToId,0),COLUMN(Design_Slope)),"NOTFOUND")</f>
        <v>NOTFOUND</v>
      </c>
      <c r="H144" s="7" t="str">
        <f>_xlfn.IFNA(INDEX(Design, MATCH(D144,Design_FromToId,0),COLUMN(Design_StartInv)),"NOTFOUND")</f>
        <v>NOTFOUND</v>
      </c>
      <c r="I144" s="7" t="str">
        <f>_xlfn.IFNA(INDEX(Design, MATCH(D144,Design_FromToId,0),COLUMN(Design_EndInv)),"NOTFOUND")</f>
        <v>NOTFOUND</v>
      </c>
    </row>
    <row r="145" spans="4:9" x14ac:dyDescent="0.25">
      <c r="D145" s="5" t="str">
        <f t="shared" si="9"/>
        <v>-</v>
      </c>
      <c r="F145" s="6" t="str">
        <f>_xlfn.IFNA(INDEX(Design,MATCH(D145,Design_FromToId,0),COLUMN(Design_Slope)),"NOTFOUND")</f>
        <v>NOTFOUND</v>
      </c>
      <c r="H145" s="7" t="str">
        <f>_xlfn.IFNA(INDEX(Design, MATCH(D145,Design_FromToId,0),COLUMN(Design_StartInv)),"NOTFOUND")</f>
        <v>NOTFOUND</v>
      </c>
      <c r="I145" s="7" t="str">
        <f>_xlfn.IFNA(INDEX(Design, MATCH(D145,Design_FromToId,0),COLUMN(Design_EndInv)),"NOTFOUND")</f>
        <v>NOTFOUND</v>
      </c>
    </row>
    <row r="146" spans="4:9" x14ac:dyDescent="0.25">
      <c r="D146" s="5" t="str">
        <f t="shared" si="9"/>
        <v>-</v>
      </c>
      <c r="F146" s="6" t="str">
        <f>_xlfn.IFNA(INDEX(Design,MATCH(D146,Design_FromToId,0),COLUMN(Design_Slope)),"NOTFOUND")</f>
        <v>NOTFOUND</v>
      </c>
      <c r="H146" s="7" t="str">
        <f>_xlfn.IFNA(INDEX(Design, MATCH(D146,Design_FromToId,0),COLUMN(Design_StartInv)),"NOTFOUND")</f>
        <v>NOTFOUND</v>
      </c>
      <c r="I146" s="7" t="str">
        <f>_xlfn.IFNA(INDEX(Design, MATCH(D146,Design_FromToId,0),COLUMN(Design_EndInv)),"NOTFOUND")</f>
        <v>NOTFOUND</v>
      </c>
    </row>
    <row r="147" spans="4:9" x14ac:dyDescent="0.25">
      <c r="D147" s="5" t="str">
        <f t="shared" si="9"/>
        <v>-</v>
      </c>
      <c r="F147" s="6" t="str">
        <f>_xlfn.IFNA(INDEX(Design,MATCH(D147,Design_FromToId,0),COLUMN(Design_Slope)),"NOTFOUND")</f>
        <v>NOTFOUND</v>
      </c>
      <c r="H147" s="7" t="str">
        <f>_xlfn.IFNA(INDEX(Design, MATCH(D147,Design_FromToId,0),COLUMN(Design_StartInv)),"NOTFOUND")</f>
        <v>NOTFOUND</v>
      </c>
      <c r="I147" s="7" t="str">
        <f>_xlfn.IFNA(INDEX(Design, MATCH(D147,Design_FromToId,0),COLUMN(Design_EndInv)),"NOTFOUND")</f>
        <v>NOTFOUND</v>
      </c>
    </row>
    <row r="148" spans="4:9" x14ac:dyDescent="0.25">
      <c r="D148" s="5" t="str">
        <f t="shared" si="9"/>
        <v>-</v>
      </c>
      <c r="F148" s="6" t="str">
        <f>_xlfn.IFNA(INDEX(Design,MATCH(D148,Design_FromToId,0),COLUMN(Design_Slope)),"NOTFOUND")</f>
        <v>NOTFOUND</v>
      </c>
      <c r="H148" s="7" t="str">
        <f>_xlfn.IFNA(INDEX(Design, MATCH(D148,Design_FromToId,0),COLUMN(Design_StartInv)),"NOTFOUND")</f>
        <v>NOTFOUND</v>
      </c>
      <c r="I148" s="7" t="str">
        <f>_xlfn.IFNA(INDEX(Design, MATCH(D148,Design_FromToId,0),COLUMN(Design_EndInv)),"NOTFOUND")</f>
        <v>NOTFOUND</v>
      </c>
    </row>
    <row r="149" spans="4:9" x14ac:dyDescent="0.25">
      <c r="D149" s="5" t="str">
        <f t="shared" si="9"/>
        <v>-</v>
      </c>
      <c r="F149" s="6" t="str">
        <f>_xlfn.IFNA(INDEX(Design,MATCH(D149,Design_FromToId,0),COLUMN(Design_Slope)),"NOTFOUND")</f>
        <v>NOTFOUND</v>
      </c>
      <c r="H149" s="7" t="str">
        <f>_xlfn.IFNA(INDEX(Design, MATCH(D149,Design_FromToId,0),COLUMN(Design_StartInv)),"NOTFOUND")</f>
        <v>NOTFOUND</v>
      </c>
      <c r="I149" s="7" t="str">
        <f>_xlfn.IFNA(INDEX(Design, MATCH(D149,Design_FromToId,0),COLUMN(Design_EndInv)),"NOTFOUND")</f>
        <v>NOTFOUND</v>
      </c>
    </row>
    <row r="150" spans="4:9" x14ac:dyDescent="0.25">
      <c r="D150" s="5" t="str">
        <f t="shared" si="9"/>
        <v>-</v>
      </c>
      <c r="F150" s="6" t="str">
        <f>_xlfn.IFNA(INDEX(Design,MATCH(D150,Design_FromToId,0),COLUMN(Design_Slope)),"NOTFOUND")</f>
        <v>NOTFOUND</v>
      </c>
      <c r="H150" s="7" t="str">
        <f>_xlfn.IFNA(INDEX(Design, MATCH(D150,Design_FromToId,0),COLUMN(Design_StartInv)),"NOTFOUND")</f>
        <v>NOTFOUND</v>
      </c>
      <c r="I150" s="7" t="str">
        <f>_xlfn.IFNA(INDEX(Design, MATCH(D150,Design_FromToId,0),COLUMN(Design_EndInv)),"NOTFOUND")</f>
        <v>NOTFOUND</v>
      </c>
    </row>
    <row r="151" spans="4:9" x14ac:dyDescent="0.25">
      <c r="D151" s="5" t="str">
        <f t="shared" si="9"/>
        <v>-</v>
      </c>
      <c r="F151" s="6" t="str">
        <f>_xlfn.IFNA(INDEX(Design,MATCH(D151,Design_FromToId,0),COLUMN(Design_Slope)),"NOTFOUND")</f>
        <v>NOTFOUND</v>
      </c>
      <c r="H151" s="7" t="str">
        <f>_xlfn.IFNA(INDEX(Design, MATCH(D151,Design_FromToId,0),COLUMN(Design_StartInv)),"NOTFOUND")</f>
        <v>NOTFOUND</v>
      </c>
      <c r="I151" s="7" t="str">
        <f>_xlfn.IFNA(INDEX(Design, MATCH(D151,Design_FromToId,0),COLUMN(Design_EndInv)),"NOTFOUND")</f>
        <v>NOTFOUND</v>
      </c>
    </row>
    <row r="152" spans="4:9" x14ac:dyDescent="0.25">
      <c r="D152" s="5" t="str">
        <f t="shared" si="9"/>
        <v>-</v>
      </c>
      <c r="F152" s="6" t="str">
        <f>_xlfn.IFNA(INDEX(Design,MATCH(D152,Design_FromToId,0),COLUMN(Design_Slope)),"NOTFOUND")</f>
        <v>NOTFOUND</v>
      </c>
      <c r="H152" s="7" t="str">
        <f>_xlfn.IFNA(INDEX(Design, MATCH(D152,Design_FromToId,0),COLUMN(Design_StartInv)),"NOTFOUND")</f>
        <v>NOTFOUND</v>
      </c>
      <c r="I152" s="7" t="str">
        <f>_xlfn.IFNA(INDEX(Design, MATCH(D152,Design_FromToId,0),COLUMN(Design_EndInv)),"NOTFOUND")</f>
        <v>NOTFOUND</v>
      </c>
    </row>
    <row r="153" spans="4:9" x14ac:dyDescent="0.25">
      <c r="D153" s="5" t="str">
        <f t="shared" si="9"/>
        <v>-</v>
      </c>
      <c r="F153" s="6" t="str">
        <f>_xlfn.IFNA(INDEX(Design,MATCH(D153,Design_FromToId,0),COLUMN(Design_Slope)),"NOTFOUND")</f>
        <v>NOTFOUND</v>
      </c>
      <c r="H153" s="7" t="str">
        <f>_xlfn.IFNA(INDEX(Design, MATCH(D153,Design_FromToId,0),COLUMN(Design_StartInv)),"NOTFOUND")</f>
        <v>NOTFOUND</v>
      </c>
      <c r="I153" s="7" t="str">
        <f>_xlfn.IFNA(INDEX(Design, MATCH(D153,Design_FromToId,0),COLUMN(Design_EndInv)),"NOTFOUND")</f>
        <v>NOTFOUND</v>
      </c>
    </row>
    <row r="154" spans="4:9" x14ac:dyDescent="0.25">
      <c r="D154" s="5" t="str">
        <f t="shared" si="9"/>
        <v>-</v>
      </c>
      <c r="F154" s="6" t="str">
        <f>_xlfn.IFNA(INDEX(Design,MATCH(D154,Design_FromToId,0),COLUMN(Design_Slope)),"NOTFOUND")</f>
        <v>NOTFOUND</v>
      </c>
      <c r="H154" s="7" t="str">
        <f>_xlfn.IFNA(INDEX(Design, MATCH(D154,Design_FromToId,0),COLUMN(Design_StartInv)),"NOTFOUND")</f>
        <v>NOTFOUND</v>
      </c>
      <c r="I154" s="7" t="str">
        <f>_xlfn.IFNA(INDEX(Design, MATCH(D154,Design_FromToId,0),COLUMN(Design_EndInv)),"NOTFOUND")</f>
        <v>NOTFOUND</v>
      </c>
    </row>
    <row r="155" spans="4:9" x14ac:dyDescent="0.25">
      <c r="D155" s="5" t="str">
        <f t="shared" si="9"/>
        <v>-</v>
      </c>
      <c r="F155" s="6" t="str">
        <f>_xlfn.IFNA(INDEX(Design,MATCH(D155,Design_FromToId,0),COLUMN(Design_Slope)),"NOTFOUND")</f>
        <v>NOTFOUND</v>
      </c>
      <c r="H155" s="7" t="str">
        <f>_xlfn.IFNA(INDEX(Design, MATCH(D155,Design_FromToId,0),COLUMN(Design_StartInv)),"NOTFOUND")</f>
        <v>NOTFOUND</v>
      </c>
      <c r="I155" s="7" t="str">
        <f>_xlfn.IFNA(INDEX(Design, MATCH(D155,Design_FromToId,0),COLUMN(Design_EndInv)),"NOTFOUND")</f>
        <v>NOTFOUND</v>
      </c>
    </row>
    <row r="156" spans="4:9" x14ac:dyDescent="0.25">
      <c r="D156" s="5" t="str">
        <f t="shared" si="9"/>
        <v>-</v>
      </c>
      <c r="F156" s="6" t="str">
        <f>_xlfn.IFNA(INDEX(Design,MATCH(D156,Design_FromToId,0),COLUMN(Design_Slope)),"NOTFOUND")</f>
        <v>NOTFOUND</v>
      </c>
      <c r="H156" s="7" t="str">
        <f>_xlfn.IFNA(INDEX(Design, MATCH(D156,Design_FromToId,0),COLUMN(Design_StartInv)),"NOTFOUND")</f>
        <v>NOTFOUND</v>
      </c>
      <c r="I156" s="7" t="str">
        <f>_xlfn.IFNA(INDEX(Design, MATCH(D156,Design_FromToId,0),COLUMN(Design_EndInv)),"NOTFOUND")</f>
        <v>NOTFOUND</v>
      </c>
    </row>
    <row r="157" spans="4:9" x14ac:dyDescent="0.25">
      <c r="D157" s="5" t="str">
        <f t="shared" si="9"/>
        <v>-</v>
      </c>
      <c r="F157" s="6" t="str">
        <f>_xlfn.IFNA(INDEX(Design,MATCH(D157,Design_FromToId,0),COLUMN(Design_Slope)),"NOTFOUND")</f>
        <v>NOTFOUND</v>
      </c>
      <c r="H157" s="7" t="str">
        <f>_xlfn.IFNA(INDEX(Design, MATCH(D157,Design_FromToId,0),COLUMN(Design_StartInv)),"NOTFOUND")</f>
        <v>NOTFOUND</v>
      </c>
      <c r="I157" s="7" t="str">
        <f>_xlfn.IFNA(INDEX(Design, MATCH(D157,Design_FromToId,0),COLUMN(Design_EndInv)),"NOTFOUND")</f>
        <v>NOTFOUND</v>
      </c>
    </row>
    <row r="158" spans="4:9" x14ac:dyDescent="0.25">
      <c r="D158" s="5" t="str">
        <f t="shared" si="9"/>
        <v>-</v>
      </c>
      <c r="F158" s="6" t="str">
        <f>_xlfn.IFNA(INDEX(Design,MATCH(D158,Design_FromToId,0),COLUMN(Design_Slope)),"NOTFOUND")</f>
        <v>NOTFOUND</v>
      </c>
      <c r="H158" s="7" t="str">
        <f>_xlfn.IFNA(INDEX(Design, MATCH(D158,Design_FromToId,0),COLUMN(Design_StartInv)),"NOTFOUND")</f>
        <v>NOTFOUND</v>
      </c>
      <c r="I158" s="7" t="str">
        <f>_xlfn.IFNA(INDEX(Design, MATCH(D158,Design_FromToId,0),COLUMN(Design_EndInv)),"NOTFOUND")</f>
        <v>NOTFOUND</v>
      </c>
    </row>
    <row r="159" spans="4:9" x14ac:dyDescent="0.25">
      <c r="D159" s="5" t="str">
        <f t="shared" si="9"/>
        <v>-</v>
      </c>
      <c r="F159" s="6" t="str">
        <f>_xlfn.IFNA(INDEX(Design,MATCH(D159,Design_FromToId,0),COLUMN(Design_Slope)),"NOTFOUND")</f>
        <v>NOTFOUND</v>
      </c>
      <c r="H159" s="7" t="str">
        <f>_xlfn.IFNA(INDEX(Design, MATCH(D159,Design_FromToId,0),COLUMN(Design_StartInv)),"NOTFOUND")</f>
        <v>NOTFOUND</v>
      </c>
      <c r="I159" s="7" t="str">
        <f>_xlfn.IFNA(INDEX(Design, MATCH(D159,Design_FromToId,0),COLUMN(Design_EndInv)),"NOTFOUND")</f>
        <v>NOTFOUND</v>
      </c>
    </row>
    <row r="160" spans="4:9" x14ac:dyDescent="0.25">
      <c r="D160" s="5" t="str">
        <f t="shared" si="9"/>
        <v>-</v>
      </c>
      <c r="F160" s="6" t="str">
        <f>_xlfn.IFNA(INDEX(Design,MATCH(D160,Design_FromToId,0),COLUMN(Design_Slope)),"NOTFOUND")</f>
        <v>NOTFOUND</v>
      </c>
      <c r="H160" s="7" t="str">
        <f>_xlfn.IFNA(INDEX(Design, MATCH(D160,Design_FromToId,0),COLUMN(Design_StartInv)),"NOTFOUND")</f>
        <v>NOTFOUND</v>
      </c>
      <c r="I160" s="7" t="str">
        <f>_xlfn.IFNA(INDEX(Design, MATCH(D160,Design_FromToId,0),COLUMN(Design_EndInv)),"NOTFOUND")</f>
        <v>NOTFOUND</v>
      </c>
    </row>
    <row r="161" spans="4:9" x14ac:dyDescent="0.25">
      <c r="D161" s="5" t="str">
        <f t="shared" si="9"/>
        <v>-</v>
      </c>
      <c r="F161" s="6" t="str">
        <f>_xlfn.IFNA(INDEX(Design,MATCH(D161,Design_FromToId,0),COLUMN(Design_Slope)),"NOTFOUND")</f>
        <v>NOTFOUND</v>
      </c>
      <c r="H161" s="7" t="str">
        <f>_xlfn.IFNA(INDEX(Design, MATCH(D161,Design_FromToId,0),COLUMN(Design_StartInv)),"NOTFOUND")</f>
        <v>NOTFOUND</v>
      </c>
      <c r="I161" s="7" t="str">
        <f>_xlfn.IFNA(INDEX(Design, MATCH(D161,Design_FromToId,0),COLUMN(Design_EndInv)),"NOTFOUND")</f>
        <v>NOTFOUND</v>
      </c>
    </row>
    <row r="162" spans="4:9" x14ac:dyDescent="0.25">
      <c r="D162" s="5" t="str">
        <f t="shared" si="9"/>
        <v>-</v>
      </c>
      <c r="F162" s="6" t="str">
        <f>_xlfn.IFNA(INDEX(Design,MATCH(D162,Design_FromToId,0),COLUMN(Design_Slope)),"NOTFOUND")</f>
        <v>NOTFOUND</v>
      </c>
      <c r="H162" s="7" t="str">
        <f>_xlfn.IFNA(INDEX(Design, MATCH(D162,Design_FromToId,0),COLUMN(Design_StartInv)),"NOTFOUND")</f>
        <v>NOTFOUND</v>
      </c>
      <c r="I162" s="7" t="str">
        <f>_xlfn.IFNA(INDEX(Design, MATCH(D162,Design_FromToId,0),COLUMN(Design_EndInv)),"NOTFOUND")</f>
        <v>NOTFOUND</v>
      </c>
    </row>
    <row r="163" spans="4:9" x14ac:dyDescent="0.25">
      <c r="D163" s="5" t="str">
        <f t="shared" si="9"/>
        <v>-</v>
      </c>
      <c r="F163" s="6" t="str">
        <f>_xlfn.IFNA(INDEX(Design,MATCH(D163,Design_FromToId,0),COLUMN(Design_Slope)),"NOTFOUND")</f>
        <v>NOTFOUND</v>
      </c>
      <c r="H163" s="7" t="str">
        <f>_xlfn.IFNA(INDEX(Design, MATCH(D163,Design_FromToId,0),COLUMN(Design_StartInv)),"NOTFOUND")</f>
        <v>NOTFOUND</v>
      </c>
      <c r="I163" s="7" t="str">
        <f>_xlfn.IFNA(INDEX(Design, MATCH(D163,Design_FromToId,0),COLUMN(Design_EndInv)),"NOTFOUND")</f>
        <v>NOTFOUND</v>
      </c>
    </row>
    <row r="164" spans="4:9" x14ac:dyDescent="0.25">
      <c r="D164" s="5" t="str">
        <f t="shared" si="9"/>
        <v>-</v>
      </c>
      <c r="F164" s="6" t="str">
        <f>_xlfn.IFNA(INDEX(Design,MATCH(D164,Design_FromToId,0),COLUMN(Design_Slope)),"NOTFOUND")</f>
        <v>NOTFOUND</v>
      </c>
      <c r="H164" s="7" t="str">
        <f>_xlfn.IFNA(INDEX(Design, MATCH(D164,Design_FromToId,0),COLUMN(Design_StartInv)),"NOTFOUND")</f>
        <v>NOTFOUND</v>
      </c>
      <c r="I164" s="7" t="str">
        <f>_xlfn.IFNA(INDEX(Design, MATCH(D164,Design_FromToId,0),COLUMN(Design_EndInv)),"NOTFOUND")</f>
        <v>NOTFOUND</v>
      </c>
    </row>
    <row r="165" spans="4:9" x14ac:dyDescent="0.25">
      <c r="D165" s="5" t="str">
        <f t="shared" si="9"/>
        <v>-</v>
      </c>
      <c r="F165" s="6" t="str">
        <f>_xlfn.IFNA(INDEX(Design,MATCH(D165,Design_FromToId,0),COLUMN(Design_Slope)),"NOTFOUND")</f>
        <v>NOTFOUND</v>
      </c>
      <c r="H165" s="7" t="str">
        <f>_xlfn.IFNA(INDEX(Design, MATCH(D165,Design_FromToId,0),COLUMN(Design_StartInv)),"NOTFOUND")</f>
        <v>NOTFOUND</v>
      </c>
      <c r="I165" s="7" t="str">
        <f>_xlfn.IFNA(INDEX(Design, MATCH(D165,Design_FromToId,0),COLUMN(Design_EndInv)),"NOTFOUND")</f>
        <v>NOTFOUND</v>
      </c>
    </row>
    <row r="166" spans="4:9" x14ac:dyDescent="0.25">
      <c r="D166" s="5" t="str">
        <f t="shared" si="9"/>
        <v>-</v>
      </c>
      <c r="F166" s="6" t="str">
        <f>_xlfn.IFNA(INDEX(Design,MATCH(D166,Design_FromToId,0),COLUMN(Design_Slope)),"NOTFOUND")</f>
        <v>NOTFOUND</v>
      </c>
      <c r="H166" s="7" t="str">
        <f>_xlfn.IFNA(INDEX(Design, MATCH(D166,Design_FromToId,0),COLUMN(Design_StartInv)),"NOTFOUND")</f>
        <v>NOTFOUND</v>
      </c>
      <c r="I166" s="7" t="str">
        <f>_xlfn.IFNA(INDEX(Design, MATCH(D166,Design_FromToId,0),COLUMN(Design_EndInv)),"NOTFOUND")</f>
        <v>NOTFOUND</v>
      </c>
    </row>
    <row r="167" spans="4:9" x14ac:dyDescent="0.25">
      <c r="D167" s="5" t="str">
        <f t="shared" si="9"/>
        <v>-</v>
      </c>
      <c r="F167" s="6" t="str">
        <f>_xlfn.IFNA(INDEX(Design,MATCH(D167,Design_FromToId,0),COLUMN(Design_Slope)),"NOTFOUND")</f>
        <v>NOTFOUND</v>
      </c>
      <c r="H167" s="7" t="str">
        <f>_xlfn.IFNA(INDEX(Design, MATCH(D167,Design_FromToId,0),COLUMN(Design_StartInv)),"NOTFOUND")</f>
        <v>NOTFOUND</v>
      </c>
      <c r="I167" s="7" t="str">
        <f>_xlfn.IFNA(INDEX(Design, MATCH(D167,Design_FromToId,0),COLUMN(Design_EndInv)),"NOTFOUND")</f>
        <v>NOTFOUND</v>
      </c>
    </row>
    <row r="168" spans="4:9" x14ac:dyDescent="0.25">
      <c r="D168" s="5" t="str">
        <f t="shared" si="9"/>
        <v>-</v>
      </c>
      <c r="F168" s="6" t="str">
        <f>_xlfn.IFNA(INDEX(Design,MATCH(D168,Design_FromToId,0),COLUMN(Design_Slope)),"NOTFOUND")</f>
        <v>NOTFOUND</v>
      </c>
      <c r="H168" s="7" t="str">
        <f>_xlfn.IFNA(INDEX(Design, MATCH(D168,Design_FromToId,0),COLUMN(Design_StartInv)),"NOTFOUND")</f>
        <v>NOTFOUND</v>
      </c>
      <c r="I168" s="7" t="str">
        <f>_xlfn.IFNA(INDEX(Design, MATCH(D168,Design_FromToId,0),COLUMN(Design_EndInv)),"NOTFOUND")</f>
        <v>NOTFOUND</v>
      </c>
    </row>
    <row r="169" spans="4:9" x14ac:dyDescent="0.25">
      <c r="D169" s="5" t="str">
        <f t="shared" si="9"/>
        <v>-</v>
      </c>
      <c r="F169" s="6" t="str">
        <f>_xlfn.IFNA(INDEX(Design,MATCH(D169,Design_FromToId,0),COLUMN(Design_Slope)),"NOTFOUND")</f>
        <v>NOTFOUND</v>
      </c>
      <c r="H169" s="7" t="str">
        <f>_xlfn.IFNA(INDEX(Design, MATCH(D169,Design_FromToId,0),COLUMN(Design_StartInv)),"NOTFOUND")</f>
        <v>NOTFOUND</v>
      </c>
      <c r="I169" s="7" t="str">
        <f>_xlfn.IFNA(INDEX(Design, MATCH(D169,Design_FromToId,0),COLUMN(Design_EndInv)),"NOTFOUND")</f>
        <v>NOTFOUND</v>
      </c>
    </row>
    <row r="170" spans="4:9" x14ac:dyDescent="0.25">
      <c r="D170" s="5" t="str">
        <f t="shared" si="9"/>
        <v>-</v>
      </c>
      <c r="F170" s="6" t="str">
        <f>_xlfn.IFNA(INDEX(Design,MATCH(D170,Design_FromToId,0),COLUMN(Design_Slope)),"NOTFOUND")</f>
        <v>NOTFOUND</v>
      </c>
      <c r="H170" s="7" t="str">
        <f>_xlfn.IFNA(INDEX(Design, MATCH(D170,Design_FromToId,0),COLUMN(Design_StartInv)),"NOTFOUND")</f>
        <v>NOTFOUND</v>
      </c>
      <c r="I170" s="7" t="str">
        <f>_xlfn.IFNA(INDEX(Design, MATCH(D170,Design_FromToId,0),COLUMN(Design_EndInv)),"NOTFOUND")</f>
        <v>NOTFOUND</v>
      </c>
    </row>
    <row r="171" spans="4:9" x14ac:dyDescent="0.25">
      <c r="D171" s="5" t="str">
        <f t="shared" si="9"/>
        <v>-</v>
      </c>
      <c r="F171" s="6" t="str">
        <f>_xlfn.IFNA(INDEX(Design,MATCH(D171,Design_FromToId,0),COLUMN(Design_Slope)),"NOTFOUND")</f>
        <v>NOTFOUND</v>
      </c>
      <c r="H171" s="7" t="str">
        <f>_xlfn.IFNA(INDEX(Design, MATCH(D171,Design_FromToId,0),COLUMN(Design_StartInv)),"NOTFOUND")</f>
        <v>NOTFOUND</v>
      </c>
      <c r="I171" s="7" t="str">
        <f>_xlfn.IFNA(INDEX(Design, MATCH(D171,Design_FromToId,0),COLUMN(Design_EndInv)),"NOTFOUND")</f>
        <v>NOTFOUND</v>
      </c>
    </row>
    <row r="172" spans="4:9" x14ac:dyDescent="0.25">
      <c r="D172" s="5" t="str">
        <f t="shared" si="9"/>
        <v>-</v>
      </c>
      <c r="F172" s="6" t="str">
        <f>_xlfn.IFNA(INDEX(Design,MATCH(D172,Design_FromToId,0),COLUMN(Design_Slope)),"NOTFOUND")</f>
        <v>NOTFOUND</v>
      </c>
      <c r="H172" s="7" t="str">
        <f>_xlfn.IFNA(INDEX(Design, MATCH(D172,Design_FromToId,0),COLUMN(Design_StartInv)),"NOTFOUND")</f>
        <v>NOTFOUND</v>
      </c>
      <c r="I172" s="7" t="str">
        <f>_xlfn.IFNA(INDEX(Design, MATCH(D172,Design_FromToId,0),COLUMN(Design_EndInv)),"NOTFOUND")</f>
        <v>NOTFOUND</v>
      </c>
    </row>
    <row r="173" spans="4:9" x14ac:dyDescent="0.25">
      <c r="D173" s="5" t="str">
        <f t="shared" si="9"/>
        <v>-</v>
      </c>
      <c r="F173" s="6" t="str">
        <f>_xlfn.IFNA(INDEX(Design,MATCH(D173,Design_FromToId,0),COLUMN(Design_Slope)),"NOTFOUND")</f>
        <v>NOTFOUND</v>
      </c>
      <c r="H173" s="7" t="str">
        <f>_xlfn.IFNA(INDEX(Design, MATCH(D173,Design_FromToId,0),COLUMN(Design_StartInv)),"NOTFOUND")</f>
        <v>NOTFOUND</v>
      </c>
      <c r="I173" s="7" t="str">
        <f>_xlfn.IFNA(INDEX(Design, MATCH(D173,Design_FromToId,0),COLUMN(Design_EndInv)),"NOTFOUND")</f>
        <v>NOTFOUND</v>
      </c>
    </row>
    <row r="174" spans="4:9" x14ac:dyDescent="0.25">
      <c r="D174" s="5" t="str">
        <f t="shared" si="9"/>
        <v>-</v>
      </c>
      <c r="F174" s="6" t="str">
        <f>_xlfn.IFNA(INDEX(Design,MATCH(D174,Design_FromToId,0),COLUMN(Design_Slope)),"NOTFOUND")</f>
        <v>NOTFOUND</v>
      </c>
      <c r="H174" s="7" t="str">
        <f>_xlfn.IFNA(INDEX(Design, MATCH(D174,Design_FromToId,0),COLUMN(Design_StartInv)),"NOTFOUND")</f>
        <v>NOTFOUND</v>
      </c>
      <c r="I174" s="7" t="str">
        <f>_xlfn.IFNA(INDEX(Design, MATCH(D174,Design_FromToId,0),COLUMN(Design_EndInv)),"NOTFOUND")</f>
        <v>NOTFOUND</v>
      </c>
    </row>
    <row r="175" spans="4:9" x14ac:dyDescent="0.25">
      <c r="D175" s="5" t="str">
        <f t="shared" si="9"/>
        <v>-</v>
      </c>
      <c r="F175" s="6" t="str">
        <f>_xlfn.IFNA(INDEX(Design,MATCH(D175,Design_FromToId,0),COLUMN(Design_Slope)),"NOTFOUND")</f>
        <v>NOTFOUND</v>
      </c>
      <c r="H175" s="7" t="str">
        <f>_xlfn.IFNA(INDEX(Design, MATCH(D175,Design_FromToId,0),COLUMN(Design_StartInv)),"NOTFOUND")</f>
        <v>NOTFOUND</v>
      </c>
      <c r="I175" s="7" t="str">
        <f>_xlfn.IFNA(INDEX(Design, MATCH(D175,Design_FromToId,0),COLUMN(Design_EndInv)),"NOTFOUND")</f>
        <v>NOTFOUND</v>
      </c>
    </row>
    <row r="176" spans="4:9" x14ac:dyDescent="0.25">
      <c r="D176" s="5" t="str">
        <f t="shared" si="9"/>
        <v>-</v>
      </c>
      <c r="F176" s="6" t="str">
        <f>_xlfn.IFNA(INDEX(Design,MATCH(D176,Design_FromToId,0),COLUMN(Design_Slope)),"NOTFOUND")</f>
        <v>NOTFOUND</v>
      </c>
      <c r="H176" s="7" t="str">
        <f>_xlfn.IFNA(INDEX(Design, MATCH(D176,Design_FromToId,0),COLUMN(Design_StartInv)),"NOTFOUND")</f>
        <v>NOTFOUND</v>
      </c>
      <c r="I176" s="7" t="str">
        <f>_xlfn.IFNA(INDEX(Design, MATCH(D176,Design_FromToId,0),COLUMN(Design_EndInv)),"NOTFOUND")</f>
        <v>NOTFOUND</v>
      </c>
    </row>
    <row r="177" spans="4:9" x14ac:dyDescent="0.25">
      <c r="D177" s="5" t="str">
        <f t="shared" si="9"/>
        <v>-</v>
      </c>
      <c r="F177" s="6" t="str">
        <f>_xlfn.IFNA(INDEX(Design,MATCH(D177,Design_FromToId,0),COLUMN(Design_Slope)),"NOTFOUND")</f>
        <v>NOTFOUND</v>
      </c>
      <c r="H177" s="7" t="str">
        <f>_xlfn.IFNA(INDEX(Design, MATCH(D177,Design_FromToId,0),COLUMN(Design_StartInv)),"NOTFOUND")</f>
        <v>NOTFOUND</v>
      </c>
      <c r="I177" s="7" t="str">
        <f>_xlfn.IFNA(INDEX(Design, MATCH(D177,Design_FromToId,0),COLUMN(Design_EndInv)),"NOTFOUND")</f>
        <v>NOTFOUND</v>
      </c>
    </row>
    <row r="178" spans="4:9" x14ac:dyDescent="0.25">
      <c r="D178" s="5" t="str">
        <f t="shared" si="9"/>
        <v>-</v>
      </c>
      <c r="F178" s="6" t="str">
        <f>_xlfn.IFNA(INDEX(Design,MATCH(D178,Design_FromToId,0),COLUMN(Design_Slope)),"NOTFOUND")</f>
        <v>NOTFOUND</v>
      </c>
      <c r="H178" s="7" t="str">
        <f>_xlfn.IFNA(INDEX(Design, MATCH(D178,Design_FromToId,0),COLUMN(Design_StartInv)),"NOTFOUND")</f>
        <v>NOTFOUND</v>
      </c>
      <c r="I178" s="7" t="str">
        <f>_xlfn.IFNA(INDEX(Design, MATCH(D178,Design_FromToId,0),COLUMN(Design_EndInv)),"NOTFOUND")</f>
        <v>NOTFOUND</v>
      </c>
    </row>
    <row r="179" spans="4:9" x14ac:dyDescent="0.25">
      <c r="D179" s="5" t="str">
        <f t="shared" si="9"/>
        <v>-</v>
      </c>
      <c r="F179" s="6" t="str">
        <f>_xlfn.IFNA(INDEX(Design,MATCH(D179,Design_FromToId,0),COLUMN(Design_Slope)),"NOTFOUND")</f>
        <v>NOTFOUND</v>
      </c>
      <c r="H179" s="7" t="str">
        <f>_xlfn.IFNA(INDEX(Design, MATCH(D179,Design_FromToId,0),COLUMN(Design_StartInv)),"NOTFOUND")</f>
        <v>NOTFOUND</v>
      </c>
      <c r="I179" s="7" t="str">
        <f>_xlfn.IFNA(INDEX(Design, MATCH(D179,Design_FromToId,0),COLUMN(Design_EndInv)),"NOTFOUND")</f>
        <v>NOTFOUND</v>
      </c>
    </row>
    <row r="180" spans="4:9" x14ac:dyDescent="0.25">
      <c r="D180" s="5" t="str">
        <f t="shared" si="9"/>
        <v>-</v>
      </c>
      <c r="F180" s="6" t="str">
        <f>_xlfn.IFNA(INDEX(Design,MATCH(D180,Design_FromToId,0),COLUMN(Design_Slope)),"NOTFOUND")</f>
        <v>NOTFOUND</v>
      </c>
      <c r="H180" s="7" t="str">
        <f>_xlfn.IFNA(INDEX(Design, MATCH(D180,Design_FromToId,0),COLUMN(Design_StartInv)),"NOTFOUND")</f>
        <v>NOTFOUND</v>
      </c>
      <c r="I180" s="7" t="str">
        <f>_xlfn.IFNA(INDEX(Design, MATCH(D180,Design_FromToId,0),COLUMN(Design_EndInv)),"NOTFOUND")</f>
        <v>NOTFOUND</v>
      </c>
    </row>
    <row r="181" spans="4:9" x14ac:dyDescent="0.25">
      <c r="D181" s="5" t="str">
        <f t="shared" si="9"/>
        <v>-</v>
      </c>
      <c r="F181" s="6" t="str">
        <f>_xlfn.IFNA(INDEX(Design,MATCH(D181,Design_FromToId,0),COLUMN(Design_Slope)),"NOTFOUND")</f>
        <v>NOTFOUND</v>
      </c>
      <c r="H181" s="7" t="str">
        <f>_xlfn.IFNA(INDEX(Design, MATCH(D181,Design_FromToId,0),COLUMN(Design_StartInv)),"NOTFOUND")</f>
        <v>NOTFOUND</v>
      </c>
      <c r="I181" s="7" t="str">
        <f>_xlfn.IFNA(INDEX(Design, MATCH(D181,Design_FromToId,0),COLUMN(Design_EndInv)),"NOTFOUND")</f>
        <v>NOTFOUND</v>
      </c>
    </row>
    <row r="182" spans="4:9" x14ac:dyDescent="0.25">
      <c r="D182" s="5" t="str">
        <f t="shared" si="9"/>
        <v>-</v>
      </c>
      <c r="F182" s="6" t="str">
        <f>_xlfn.IFNA(INDEX(Design,MATCH(D182,Design_FromToId,0),COLUMN(Design_Slope)),"NOTFOUND")</f>
        <v>NOTFOUND</v>
      </c>
      <c r="H182" s="7" t="str">
        <f>_xlfn.IFNA(INDEX(Design, MATCH(D182,Design_FromToId,0),COLUMN(Design_StartInv)),"NOTFOUND")</f>
        <v>NOTFOUND</v>
      </c>
      <c r="I182" s="7" t="str">
        <f>_xlfn.IFNA(INDEX(Design, MATCH(D182,Design_FromToId,0),COLUMN(Design_EndInv)),"NOTFOUND")</f>
        <v>NOTFOUND</v>
      </c>
    </row>
    <row r="183" spans="4:9" x14ac:dyDescent="0.25">
      <c r="D183" s="5" t="str">
        <f t="shared" si="9"/>
        <v>-</v>
      </c>
      <c r="F183" s="6" t="str">
        <f>_xlfn.IFNA(INDEX(Design,MATCH(D183,Design_FromToId,0),COLUMN(Design_Slope)),"NOTFOUND")</f>
        <v>NOTFOUND</v>
      </c>
      <c r="H183" s="7" t="str">
        <f>_xlfn.IFNA(INDEX(Design, MATCH(D183,Design_FromToId,0),COLUMN(Design_StartInv)),"NOTFOUND")</f>
        <v>NOTFOUND</v>
      </c>
      <c r="I183" s="7" t="str">
        <f>_xlfn.IFNA(INDEX(Design, MATCH(D183,Design_FromToId,0),COLUMN(Design_EndInv)),"NOTFOUND")</f>
        <v>NOTFOUND</v>
      </c>
    </row>
    <row r="184" spans="4:9" x14ac:dyDescent="0.25">
      <c r="D184" s="5" t="str">
        <f t="shared" si="9"/>
        <v>-</v>
      </c>
      <c r="F184" s="6" t="str">
        <f>_xlfn.IFNA(INDEX(Design,MATCH(D184,Design_FromToId,0),COLUMN(Design_Slope)),"NOTFOUND")</f>
        <v>NOTFOUND</v>
      </c>
      <c r="H184" s="7" t="str">
        <f>_xlfn.IFNA(INDEX(Design, MATCH(D184,Design_FromToId,0),COLUMN(Design_StartInv)),"NOTFOUND")</f>
        <v>NOTFOUND</v>
      </c>
      <c r="I184" s="7" t="str">
        <f>_xlfn.IFNA(INDEX(Design, MATCH(D184,Design_FromToId,0),COLUMN(Design_EndInv)),"NOTFOUND")</f>
        <v>NOTFOUND</v>
      </c>
    </row>
    <row r="185" spans="4:9" x14ac:dyDescent="0.25">
      <c r="D185" s="5" t="str">
        <f t="shared" si="9"/>
        <v>-</v>
      </c>
      <c r="F185" s="6" t="str">
        <f>_xlfn.IFNA(INDEX(Design,MATCH(D185,Design_FromToId,0),COLUMN(Design_Slope)),"NOTFOUND")</f>
        <v>NOTFOUND</v>
      </c>
      <c r="H185" s="7" t="str">
        <f>_xlfn.IFNA(INDEX(Design, MATCH(D185,Design_FromToId,0),COLUMN(Design_StartInv)),"NOTFOUND")</f>
        <v>NOTFOUND</v>
      </c>
      <c r="I185" s="7" t="str">
        <f>_xlfn.IFNA(INDEX(Design, MATCH(D185,Design_FromToId,0),COLUMN(Design_EndInv)),"NOTFOUND")</f>
        <v>NOTFOUND</v>
      </c>
    </row>
    <row r="186" spans="4:9" x14ac:dyDescent="0.25">
      <c r="D186" s="5" t="str">
        <f t="shared" si="9"/>
        <v>-</v>
      </c>
      <c r="F186" s="6" t="str">
        <f>_xlfn.IFNA(INDEX(Design,MATCH(D186,Design_FromToId,0),COLUMN(Design_Slope)),"NOTFOUND")</f>
        <v>NOTFOUND</v>
      </c>
      <c r="H186" s="7" t="str">
        <f>_xlfn.IFNA(INDEX(Design, MATCH(D186,Design_FromToId,0),COLUMN(Design_StartInv)),"NOTFOUND")</f>
        <v>NOTFOUND</v>
      </c>
      <c r="I186" s="7" t="str">
        <f>_xlfn.IFNA(INDEX(Design, MATCH(D186,Design_FromToId,0),COLUMN(Design_EndInv)),"NOTFOUND")</f>
        <v>NOTFOUND</v>
      </c>
    </row>
    <row r="187" spans="4:9" x14ac:dyDescent="0.25">
      <c r="D187" s="5" t="str">
        <f t="shared" si="9"/>
        <v>-</v>
      </c>
      <c r="F187" s="6" t="str">
        <f>_xlfn.IFNA(INDEX(Design,MATCH(D187,Design_FromToId,0),COLUMN(Design_Slope)),"NOTFOUND")</f>
        <v>NOTFOUND</v>
      </c>
      <c r="H187" s="7" t="str">
        <f>_xlfn.IFNA(INDEX(Design, MATCH(D187,Design_FromToId,0),COLUMN(Design_StartInv)),"NOTFOUND")</f>
        <v>NOTFOUND</v>
      </c>
      <c r="I187" s="7" t="str">
        <f>_xlfn.IFNA(INDEX(Design, MATCH(D187,Design_FromToId,0),COLUMN(Design_EndInv)),"NOTFOUND")</f>
        <v>NOTFOUND</v>
      </c>
    </row>
    <row r="188" spans="4:9" x14ac:dyDescent="0.25">
      <c r="D188" s="5" t="str">
        <f t="shared" si="9"/>
        <v>-</v>
      </c>
      <c r="F188" s="6" t="str">
        <f>_xlfn.IFNA(INDEX(Design,MATCH(D188,Design_FromToId,0),COLUMN(Design_Slope)),"NOTFOUND")</f>
        <v>NOTFOUND</v>
      </c>
      <c r="H188" s="7" t="str">
        <f>_xlfn.IFNA(INDEX(Design, MATCH(D188,Design_FromToId,0),COLUMN(Design_StartInv)),"NOTFOUND")</f>
        <v>NOTFOUND</v>
      </c>
      <c r="I188" s="7" t="str">
        <f>_xlfn.IFNA(INDEX(Design, MATCH(D188,Design_FromToId,0),COLUMN(Design_EndInv)),"NOTFOUND")</f>
        <v>NOTFOUND</v>
      </c>
    </row>
    <row r="189" spans="4:9" x14ac:dyDescent="0.25">
      <c r="D189" s="5" t="str">
        <f t="shared" si="9"/>
        <v>-</v>
      </c>
      <c r="F189" s="6" t="str">
        <f>_xlfn.IFNA(INDEX(Design,MATCH(D189,Design_FromToId,0),COLUMN(Design_Slope)),"NOTFOUND")</f>
        <v>NOTFOUND</v>
      </c>
      <c r="H189" s="7" t="str">
        <f>_xlfn.IFNA(INDEX(Design, MATCH(D189,Design_FromToId,0),COLUMN(Design_StartInv)),"NOTFOUND")</f>
        <v>NOTFOUND</v>
      </c>
      <c r="I189" s="7" t="str">
        <f>_xlfn.IFNA(INDEX(Design, MATCH(D189,Design_FromToId,0),COLUMN(Design_EndInv)),"NOTFOUND")</f>
        <v>NOTFOUND</v>
      </c>
    </row>
    <row r="190" spans="4:9" x14ac:dyDescent="0.25">
      <c r="D190" s="5" t="str">
        <f t="shared" si="9"/>
        <v>-</v>
      </c>
      <c r="F190" s="6" t="str">
        <f>_xlfn.IFNA(INDEX(Design,MATCH(D190,Design_FromToId,0),COLUMN(Design_Slope)),"NOTFOUND")</f>
        <v>NOTFOUND</v>
      </c>
      <c r="H190" s="7" t="str">
        <f>_xlfn.IFNA(INDEX(Design, MATCH(D190,Design_FromToId,0),COLUMN(Design_StartInv)),"NOTFOUND")</f>
        <v>NOTFOUND</v>
      </c>
      <c r="I190" s="7" t="str">
        <f>_xlfn.IFNA(INDEX(Design, MATCH(D190,Design_FromToId,0),COLUMN(Design_EndInv)),"NOTFOUND")</f>
        <v>NOTFOUND</v>
      </c>
    </row>
    <row r="191" spans="4:9" x14ac:dyDescent="0.25">
      <c r="D191" s="5" t="str">
        <f t="shared" si="9"/>
        <v>-</v>
      </c>
      <c r="F191" s="6" t="str">
        <f>_xlfn.IFNA(INDEX(Design,MATCH(D191,Design_FromToId,0),COLUMN(Design_Slope)),"NOTFOUND")</f>
        <v>NOTFOUND</v>
      </c>
      <c r="H191" s="7" t="str">
        <f>_xlfn.IFNA(INDEX(Design, MATCH(D191,Design_FromToId,0),COLUMN(Design_StartInv)),"NOTFOUND")</f>
        <v>NOTFOUND</v>
      </c>
      <c r="I191" s="7" t="str">
        <f>_xlfn.IFNA(INDEX(Design, MATCH(D191,Design_FromToId,0),COLUMN(Design_EndInv)),"NOTFOUND")</f>
        <v>NOTFOUND</v>
      </c>
    </row>
    <row r="192" spans="4:9" x14ac:dyDescent="0.25">
      <c r="D192" s="5" t="str">
        <f t="shared" si="9"/>
        <v>-</v>
      </c>
      <c r="F192" s="6" t="str">
        <f>_xlfn.IFNA(INDEX(Design,MATCH(D192,Design_FromToId,0),COLUMN(Design_Slope)),"NOTFOUND")</f>
        <v>NOTFOUND</v>
      </c>
      <c r="H192" s="7" t="str">
        <f>_xlfn.IFNA(INDEX(Design, MATCH(D192,Design_FromToId,0),COLUMN(Design_StartInv)),"NOTFOUND")</f>
        <v>NOTFOUND</v>
      </c>
      <c r="I192" s="7" t="str">
        <f>_xlfn.IFNA(INDEX(Design, MATCH(D192,Design_FromToId,0),COLUMN(Design_EndInv)),"NOTFOUND")</f>
        <v>NOTFOUND</v>
      </c>
    </row>
    <row r="193" spans="4:9" x14ac:dyDescent="0.25">
      <c r="D193" s="5" t="str">
        <f t="shared" si="9"/>
        <v>-</v>
      </c>
      <c r="F193" s="6" t="str">
        <f>_xlfn.IFNA(INDEX(Design,MATCH(D193,Design_FromToId,0),COLUMN(Design_Slope)),"NOTFOUND")</f>
        <v>NOTFOUND</v>
      </c>
      <c r="H193" s="7" t="str">
        <f>_xlfn.IFNA(INDEX(Design, MATCH(D193,Design_FromToId,0),COLUMN(Design_StartInv)),"NOTFOUND")</f>
        <v>NOTFOUND</v>
      </c>
      <c r="I193" s="7" t="str">
        <f>_xlfn.IFNA(INDEX(Design, MATCH(D193,Design_FromToId,0),COLUMN(Design_EndInv)),"NOTFOUND")</f>
        <v>NOTFOUND</v>
      </c>
    </row>
    <row r="194" spans="4:9" x14ac:dyDescent="0.25">
      <c r="D194" s="5" t="str">
        <f t="shared" si="9"/>
        <v>-</v>
      </c>
      <c r="F194" s="6" t="str">
        <f>_xlfn.IFNA(INDEX(Design,MATCH(D194,Design_FromToId,0),COLUMN(Design_Slope)),"NOTFOUND")</f>
        <v>NOTFOUND</v>
      </c>
      <c r="H194" s="7" t="str">
        <f>_xlfn.IFNA(INDEX(Design, MATCH(D194,Design_FromToId,0),COLUMN(Design_StartInv)),"NOTFOUND")</f>
        <v>NOTFOUND</v>
      </c>
      <c r="I194" s="7" t="str">
        <f>_xlfn.IFNA(INDEX(Design, MATCH(D194,Design_FromToId,0),COLUMN(Design_EndInv)),"NOTFOUND")</f>
        <v>NOTFOUND</v>
      </c>
    </row>
    <row r="195" spans="4:9" x14ac:dyDescent="0.25">
      <c r="D195" s="5" t="str">
        <f t="shared" si="9"/>
        <v>-</v>
      </c>
      <c r="F195" s="6" t="str">
        <f>_xlfn.IFNA(INDEX(Design,MATCH(D195,Design_FromToId,0),COLUMN(Design_Slope)),"NOTFOUND")</f>
        <v>NOTFOUND</v>
      </c>
      <c r="H195" s="7" t="str">
        <f>_xlfn.IFNA(INDEX(Design, MATCH(D195,Design_FromToId,0),COLUMN(Design_StartInv)),"NOTFOUND")</f>
        <v>NOTFOUND</v>
      </c>
      <c r="I195" s="7" t="str">
        <f>_xlfn.IFNA(INDEX(Design, MATCH(D195,Design_FromToId,0),COLUMN(Design_EndInv)),"NOTFOUND")</f>
        <v>NOTFOUND</v>
      </c>
    </row>
    <row r="196" spans="4:9" x14ac:dyDescent="0.25">
      <c r="D196" s="5" t="str">
        <f t="shared" si="9"/>
        <v>-</v>
      </c>
      <c r="F196" s="6" t="str">
        <f>_xlfn.IFNA(INDEX(Design,MATCH(D196,Design_FromToId,0),COLUMN(Design_Slope)),"NOTFOUND")</f>
        <v>NOTFOUND</v>
      </c>
      <c r="H196" s="7" t="str">
        <f>_xlfn.IFNA(INDEX(Design, MATCH(D196,Design_FromToId,0),COLUMN(Design_StartInv)),"NOTFOUND")</f>
        <v>NOTFOUND</v>
      </c>
      <c r="I196" s="7" t="str">
        <f>_xlfn.IFNA(INDEX(Design, MATCH(D196,Design_FromToId,0),COLUMN(Design_EndInv)),"NOTFOUND")</f>
        <v>NOTFOUND</v>
      </c>
    </row>
    <row r="197" spans="4:9" x14ac:dyDescent="0.25">
      <c r="D197" s="5" t="str">
        <f t="shared" si="9"/>
        <v>-</v>
      </c>
      <c r="F197" s="6" t="str">
        <f>_xlfn.IFNA(INDEX(Design,MATCH(D197,Design_FromToId,0),COLUMN(Design_Slope)),"NOTFOUND")</f>
        <v>NOTFOUND</v>
      </c>
      <c r="H197" s="7" t="str">
        <f>_xlfn.IFNA(INDEX(Design, MATCH(D197,Design_FromToId,0),COLUMN(Design_StartInv)),"NOTFOUND")</f>
        <v>NOTFOUND</v>
      </c>
      <c r="I197" s="7" t="str">
        <f>_xlfn.IFNA(INDEX(Design, MATCH(D197,Design_FromToId,0),COLUMN(Design_EndInv)),"NOTFOUND")</f>
        <v>NOTFOUND</v>
      </c>
    </row>
    <row r="198" spans="4:9" x14ac:dyDescent="0.25">
      <c r="D198" s="5" t="str">
        <f t="shared" si="9"/>
        <v>-</v>
      </c>
      <c r="F198" s="6" t="str">
        <f>_xlfn.IFNA(INDEX(Design,MATCH(D198,Design_FromToId,0),COLUMN(Design_Slope)),"NOTFOUND")</f>
        <v>NOTFOUND</v>
      </c>
      <c r="H198" s="7" t="str">
        <f>_xlfn.IFNA(INDEX(Design, MATCH(D198,Design_FromToId,0),COLUMN(Design_StartInv)),"NOTFOUND")</f>
        <v>NOTFOUND</v>
      </c>
      <c r="I198" s="7" t="str">
        <f>_xlfn.IFNA(INDEX(Design, MATCH(D198,Design_FromToId,0),COLUMN(Design_EndInv)),"NOTFOUND")</f>
        <v>NOTFOUND</v>
      </c>
    </row>
    <row r="199" spans="4:9" x14ac:dyDescent="0.25">
      <c r="D199" s="5" t="str">
        <f t="shared" si="9"/>
        <v>-</v>
      </c>
      <c r="F199" s="6" t="str">
        <f>_xlfn.IFNA(INDEX(Design,MATCH(D199,Design_FromToId,0),COLUMN(Design_Slope)),"NOTFOUND")</f>
        <v>NOTFOUND</v>
      </c>
      <c r="H199" s="7" t="str">
        <f>_xlfn.IFNA(INDEX(Design, MATCH(D199,Design_FromToId,0),COLUMN(Design_StartInv)),"NOTFOUND")</f>
        <v>NOTFOUND</v>
      </c>
      <c r="I199" s="7" t="str">
        <f>_xlfn.IFNA(INDEX(Design, MATCH(D199,Design_FromToId,0),COLUMN(Design_EndInv)),"NOTFOUND")</f>
        <v>NOTFOUND</v>
      </c>
    </row>
    <row r="200" spans="4:9" x14ac:dyDescent="0.25">
      <c r="D200" s="5" t="str">
        <f t="shared" si="9"/>
        <v>-</v>
      </c>
      <c r="F200" s="6" t="str">
        <f>_xlfn.IFNA(INDEX(Design,MATCH(D200,Design_FromToId,0),COLUMN(Design_Slope)),"NOTFOUND")</f>
        <v>NOTFOUND</v>
      </c>
      <c r="H200" s="7" t="str">
        <f>_xlfn.IFNA(INDEX(Design, MATCH(D200,Design_FromToId,0),COLUMN(Design_StartInv)),"NOTFOUND")</f>
        <v>NOTFOUND</v>
      </c>
      <c r="I200" s="7" t="str">
        <f>_xlfn.IFNA(INDEX(Design, MATCH(D200,Design_FromToId,0),COLUMN(Design_EndInv)),"NOTFOUND")</f>
        <v>NOTFOUND</v>
      </c>
    </row>
    <row r="201" spans="4:9" x14ac:dyDescent="0.25">
      <c r="D201" s="5" t="str">
        <f t="shared" si="9"/>
        <v>-</v>
      </c>
      <c r="F201" s="6" t="str">
        <f>_xlfn.IFNA(INDEX(Design,MATCH(D201,Design_FromToId,0),COLUMN(Design_Slope)),"NOTFOUND")</f>
        <v>NOTFOUND</v>
      </c>
      <c r="H201" s="7" t="str">
        <f>_xlfn.IFNA(INDEX(Design, MATCH(D201,Design_FromToId,0),COLUMN(Design_StartInv)),"NOTFOUND")</f>
        <v>NOTFOUND</v>
      </c>
      <c r="I201" s="7" t="str">
        <f>_xlfn.IFNA(INDEX(Design, MATCH(D201,Design_FromToId,0),COLUMN(Design_EndInv)),"NOTFOUND")</f>
        <v>NOTFOUND</v>
      </c>
    </row>
    <row r="202" spans="4:9" x14ac:dyDescent="0.25">
      <c r="D202" s="5" t="str">
        <f t="shared" ref="D202:D250" si="10">_xlfn.CONCAT(B202,"-",C202)</f>
        <v>-</v>
      </c>
      <c r="F202" s="6" t="str">
        <f>_xlfn.IFNA(INDEX(Design,MATCH(D202,Design_FromToId,0),COLUMN(Design_Slope)),"NOTFOUND")</f>
        <v>NOTFOUND</v>
      </c>
      <c r="H202" s="7" t="str">
        <f>_xlfn.IFNA(INDEX(Design, MATCH(D202,Design_FromToId,0),COLUMN(Design_StartInv)),"NOTFOUND")</f>
        <v>NOTFOUND</v>
      </c>
      <c r="I202" s="7" t="str">
        <f>_xlfn.IFNA(INDEX(Design, MATCH(D202,Design_FromToId,0),COLUMN(Design_EndInv)),"NOTFOUND")</f>
        <v>NOTFOUND</v>
      </c>
    </row>
    <row r="203" spans="4:9" x14ac:dyDescent="0.25">
      <c r="D203" s="5" t="str">
        <f t="shared" si="10"/>
        <v>-</v>
      </c>
      <c r="F203" s="6" t="str">
        <f>_xlfn.IFNA(INDEX(Design,MATCH(D203,Design_FromToId,0),COLUMN(Design_Slope)),"NOTFOUND")</f>
        <v>NOTFOUND</v>
      </c>
      <c r="H203" s="7" t="str">
        <f>_xlfn.IFNA(INDEX(Design, MATCH(D203,Design_FromToId,0),COLUMN(Design_StartInv)),"NOTFOUND")</f>
        <v>NOTFOUND</v>
      </c>
      <c r="I203" s="7" t="str">
        <f>_xlfn.IFNA(INDEX(Design, MATCH(D203,Design_FromToId,0),COLUMN(Design_EndInv)),"NOTFOUND")</f>
        <v>NOTFOUND</v>
      </c>
    </row>
    <row r="204" spans="4:9" x14ac:dyDescent="0.25">
      <c r="D204" s="5" t="str">
        <f t="shared" si="10"/>
        <v>-</v>
      </c>
      <c r="F204" s="6" t="str">
        <f>_xlfn.IFNA(INDEX(Design,MATCH(D204,Design_FromToId,0),COLUMN(Design_Slope)),"NOTFOUND")</f>
        <v>NOTFOUND</v>
      </c>
      <c r="H204" s="7" t="str">
        <f>_xlfn.IFNA(INDEX(Design, MATCH(D204,Design_FromToId,0),COLUMN(Design_StartInv)),"NOTFOUND")</f>
        <v>NOTFOUND</v>
      </c>
      <c r="I204" s="7" t="str">
        <f>_xlfn.IFNA(INDEX(Design, MATCH(D204,Design_FromToId,0),COLUMN(Design_EndInv)),"NOTFOUND")</f>
        <v>NOTFOUND</v>
      </c>
    </row>
    <row r="205" spans="4:9" x14ac:dyDescent="0.25">
      <c r="D205" s="5" t="str">
        <f t="shared" si="10"/>
        <v>-</v>
      </c>
      <c r="F205" s="6" t="str">
        <f>_xlfn.IFNA(INDEX(Design,MATCH(D205,Design_FromToId,0),COLUMN(Design_Slope)),"NOTFOUND")</f>
        <v>NOTFOUND</v>
      </c>
      <c r="H205" s="7" t="str">
        <f>_xlfn.IFNA(INDEX(Design, MATCH(D205,Design_FromToId,0),COLUMN(Design_StartInv)),"NOTFOUND")</f>
        <v>NOTFOUND</v>
      </c>
      <c r="I205" s="7" t="str">
        <f>_xlfn.IFNA(INDEX(Design, MATCH(D205,Design_FromToId,0),COLUMN(Design_EndInv)),"NOTFOUND")</f>
        <v>NOTFOUND</v>
      </c>
    </row>
    <row r="206" spans="4:9" x14ac:dyDescent="0.25">
      <c r="D206" s="5" t="str">
        <f t="shared" si="10"/>
        <v>-</v>
      </c>
      <c r="F206" s="6" t="str">
        <f>_xlfn.IFNA(INDEX(Design,MATCH(D206,Design_FromToId,0),COLUMN(Design_Slope)),"NOTFOUND")</f>
        <v>NOTFOUND</v>
      </c>
      <c r="H206" s="7" t="str">
        <f>_xlfn.IFNA(INDEX(Design, MATCH(D206,Design_FromToId,0),COLUMN(Design_StartInv)),"NOTFOUND")</f>
        <v>NOTFOUND</v>
      </c>
      <c r="I206" s="7" t="str">
        <f>_xlfn.IFNA(INDEX(Design, MATCH(D206,Design_FromToId,0),COLUMN(Design_EndInv)),"NOTFOUND")</f>
        <v>NOTFOUND</v>
      </c>
    </row>
    <row r="207" spans="4:9" x14ac:dyDescent="0.25">
      <c r="D207" s="5" t="str">
        <f t="shared" si="10"/>
        <v>-</v>
      </c>
      <c r="F207" s="6" t="str">
        <f>_xlfn.IFNA(INDEX(Design,MATCH(D207,Design_FromToId,0),COLUMN(Design_Slope)),"NOTFOUND")</f>
        <v>NOTFOUND</v>
      </c>
      <c r="H207" s="7" t="str">
        <f>_xlfn.IFNA(INDEX(Design, MATCH(D207,Design_FromToId,0),COLUMN(Design_StartInv)),"NOTFOUND")</f>
        <v>NOTFOUND</v>
      </c>
      <c r="I207" s="7" t="str">
        <f>_xlfn.IFNA(INDEX(Design, MATCH(D207,Design_FromToId,0),COLUMN(Design_EndInv)),"NOTFOUND")</f>
        <v>NOTFOUND</v>
      </c>
    </row>
    <row r="208" spans="4:9" x14ac:dyDescent="0.25">
      <c r="D208" s="5" t="str">
        <f t="shared" si="10"/>
        <v>-</v>
      </c>
      <c r="F208" s="6" t="str">
        <f>_xlfn.IFNA(INDEX(Design,MATCH(D208,Design_FromToId,0),COLUMN(Design_Slope)),"NOTFOUND")</f>
        <v>NOTFOUND</v>
      </c>
      <c r="H208" s="7" t="str">
        <f>_xlfn.IFNA(INDEX(Design, MATCH(D208,Design_FromToId,0),COLUMN(Design_StartInv)),"NOTFOUND")</f>
        <v>NOTFOUND</v>
      </c>
      <c r="I208" s="7" t="str">
        <f>_xlfn.IFNA(INDEX(Design, MATCH(D208,Design_FromToId,0),COLUMN(Design_EndInv)),"NOTFOUND")</f>
        <v>NOTFOUND</v>
      </c>
    </row>
    <row r="209" spans="4:9" x14ac:dyDescent="0.25">
      <c r="D209" s="5" t="str">
        <f t="shared" si="10"/>
        <v>-</v>
      </c>
      <c r="F209" s="6" t="str">
        <f>_xlfn.IFNA(INDEX(Design,MATCH(D209,Design_FromToId,0),COLUMN(Design_Slope)),"NOTFOUND")</f>
        <v>NOTFOUND</v>
      </c>
      <c r="H209" s="7" t="str">
        <f>_xlfn.IFNA(INDEX(Design, MATCH(D209,Design_FromToId,0),COLUMN(Design_StartInv)),"NOTFOUND")</f>
        <v>NOTFOUND</v>
      </c>
      <c r="I209" s="7" t="str">
        <f>_xlfn.IFNA(INDEX(Design, MATCH(D209,Design_FromToId,0),COLUMN(Design_EndInv)),"NOTFOUND")</f>
        <v>NOTFOUND</v>
      </c>
    </row>
    <row r="210" spans="4:9" x14ac:dyDescent="0.25">
      <c r="D210" s="5" t="str">
        <f t="shared" si="10"/>
        <v>-</v>
      </c>
      <c r="F210" s="6" t="str">
        <f>_xlfn.IFNA(INDEX(Design,MATCH(D210,Design_FromToId,0),COLUMN(Design_Slope)),"NOTFOUND")</f>
        <v>NOTFOUND</v>
      </c>
      <c r="H210" s="7" t="str">
        <f>_xlfn.IFNA(INDEX(Design, MATCH(D210,Design_FromToId,0),COLUMN(Design_StartInv)),"NOTFOUND")</f>
        <v>NOTFOUND</v>
      </c>
      <c r="I210" s="7" t="str">
        <f>_xlfn.IFNA(INDEX(Design, MATCH(D210,Design_FromToId,0),COLUMN(Design_EndInv)),"NOTFOUND")</f>
        <v>NOTFOUND</v>
      </c>
    </row>
    <row r="211" spans="4:9" x14ac:dyDescent="0.25">
      <c r="D211" s="5" t="str">
        <f t="shared" si="10"/>
        <v>-</v>
      </c>
      <c r="F211" s="6" t="str">
        <f>_xlfn.IFNA(INDEX(Design,MATCH(D211,Design_FromToId,0),COLUMN(Design_Slope)),"NOTFOUND")</f>
        <v>NOTFOUND</v>
      </c>
      <c r="H211" s="7" t="str">
        <f>_xlfn.IFNA(INDEX(Design, MATCH(D211,Design_FromToId,0),COLUMN(Design_StartInv)),"NOTFOUND")</f>
        <v>NOTFOUND</v>
      </c>
      <c r="I211" s="7" t="str">
        <f>_xlfn.IFNA(INDEX(Design, MATCH(D211,Design_FromToId,0),COLUMN(Design_EndInv)),"NOTFOUND")</f>
        <v>NOTFOUND</v>
      </c>
    </row>
    <row r="212" spans="4:9" x14ac:dyDescent="0.25">
      <c r="D212" s="5" t="str">
        <f t="shared" si="10"/>
        <v>-</v>
      </c>
      <c r="F212" s="6" t="str">
        <f>_xlfn.IFNA(INDEX(Design,MATCH(D212,Design_FromToId,0),COLUMN(Design_Slope)),"NOTFOUND")</f>
        <v>NOTFOUND</v>
      </c>
      <c r="H212" s="7" t="str">
        <f>_xlfn.IFNA(INDEX(Design, MATCH(D212,Design_FromToId,0),COLUMN(Design_StartInv)),"NOTFOUND")</f>
        <v>NOTFOUND</v>
      </c>
      <c r="I212" s="7" t="str">
        <f>_xlfn.IFNA(INDEX(Design, MATCH(D212,Design_FromToId,0),COLUMN(Design_EndInv)),"NOTFOUND")</f>
        <v>NOTFOUND</v>
      </c>
    </row>
    <row r="213" spans="4:9" x14ac:dyDescent="0.25">
      <c r="D213" s="5" t="str">
        <f t="shared" si="10"/>
        <v>-</v>
      </c>
      <c r="F213" s="6" t="str">
        <f>_xlfn.IFNA(INDEX(Design,MATCH(D213,Design_FromToId,0),COLUMN(Design_Slope)),"NOTFOUND")</f>
        <v>NOTFOUND</v>
      </c>
      <c r="H213" s="7" t="str">
        <f>_xlfn.IFNA(INDEX(Design, MATCH(D213,Design_FromToId,0),COLUMN(Design_StartInv)),"NOTFOUND")</f>
        <v>NOTFOUND</v>
      </c>
      <c r="I213" s="7" t="str">
        <f>_xlfn.IFNA(INDEX(Design, MATCH(D213,Design_FromToId,0),COLUMN(Design_EndInv)),"NOTFOUND")</f>
        <v>NOTFOUND</v>
      </c>
    </row>
    <row r="214" spans="4:9" x14ac:dyDescent="0.25">
      <c r="D214" s="5" t="str">
        <f t="shared" si="10"/>
        <v>-</v>
      </c>
      <c r="F214" s="6" t="str">
        <f>_xlfn.IFNA(INDEX(Design,MATCH(D214,Design_FromToId,0),COLUMN(Design_Slope)),"NOTFOUND")</f>
        <v>NOTFOUND</v>
      </c>
      <c r="H214" s="7" t="str">
        <f>_xlfn.IFNA(INDEX(Design, MATCH(D214,Design_FromToId,0),COLUMN(Design_StartInv)),"NOTFOUND")</f>
        <v>NOTFOUND</v>
      </c>
      <c r="I214" s="7" t="str">
        <f>_xlfn.IFNA(INDEX(Design, MATCH(D214,Design_FromToId,0),COLUMN(Design_EndInv)),"NOTFOUND")</f>
        <v>NOTFOUND</v>
      </c>
    </row>
    <row r="215" spans="4:9" x14ac:dyDescent="0.25">
      <c r="D215" s="5" t="str">
        <f t="shared" si="10"/>
        <v>-</v>
      </c>
      <c r="F215" s="6" t="str">
        <f>_xlfn.IFNA(INDEX(Design,MATCH(D215,Design_FromToId,0),COLUMN(Design_Slope)),"NOTFOUND")</f>
        <v>NOTFOUND</v>
      </c>
      <c r="H215" s="7" t="str">
        <f>_xlfn.IFNA(INDEX(Design, MATCH(D215,Design_FromToId,0),COLUMN(Design_StartInv)),"NOTFOUND")</f>
        <v>NOTFOUND</v>
      </c>
      <c r="I215" s="7" t="str">
        <f>_xlfn.IFNA(INDEX(Design, MATCH(D215,Design_FromToId,0),COLUMN(Design_EndInv)),"NOTFOUND")</f>
        <v>NOTFOUND</v>
      </c>
    </row>
    <row r="216" spans="4:9" x14ac:dyDescent="0.25">
      <c r="D216" s="5" t="str">
        <f t="shared" si="10"/>
        <v>-</v>
      </c>
      <c r="F216" s="6" t="str">
        <f>_xlfn.IFNA(INDEX(Design,MATCH(D216,Design_FromToId,0),COLUMN(Design_Slope)),"NOTFOUND")</f>
        <v>NOTFOUND</v>
      </c>
      <c r="H216" s="7" t="str">
        <f>_xlfn.IFNA(INDEX(Design, MATCH(D216,Design_FromToId,0),COLUMN(Design_StartInv)),"NOTFOUND")</f>
        <v>NOTFOUND</v>
      </c>
      <c r="I216" s="7" t="str">
        <f>_xlfn.IFNA(INDEX(Design, MATCH(D216,Design_FromToId,0),COLUMN(Design_EndInv)),"NOTFOUND")</f>
        <v>NOTFOUND</v>
      </c>
    </row>
    <row r="217" spans="4:9" x14ac:dyDescent="0.25">
      <c r="D217" s="5" t="str">
        <f t="shared" si="10"/>
        <v>-</v>
      </c>
      <c r="F217" s="6" t="str">
        <f>_xlfn.IFNA(INDEX(Design,MATCH(D217,Design_FromToId,0),COLUMN(Design_Slope)),"NOTFOUND")</f>
        <v>NOTFOUND</v>
      </c>
      <c r="H217" s="7" t="str">
        <f>_xlfn.IFNA(INDEX(Design, MATCH(D217,Design_FromToId,0),COLUMN(Design_StartInv)),"NOTFOUND")</f>
        <v>NOTFOUND</v>
      </c>
      <c r="I217" s="7" t="str">
        <f>_xlfn.IFNA(INDEX(Design, MATCH(D217,Design_FromToId,0),COLUMN(Design_EndInv)),"NOTFOUND")</f>
        <v>NOTFOUND</v>
      </c>
    </row>
    <row r="218" spans="4:9" x14ac:dyDescent="0.25">
      <c r="D218" s="5" t="str">
        <f t="shared" si="10"/>
        <v>-</v>
      </c>
      <c r="F218" s="6" t="str">
        <f>_xlfn.IFNA(INDEX(Design,MATCH(D218,Design_FromToId,0),COLUMN(Design_Slope)),"NOTFOUND")</f>
        <v>NOTFOUND</v>
      </c>
      <c r="H218" s="7" t="str">
        <f>_xlfn.IFNA(INDEX(Design, MATCH(D218,Design_FromToId,0),COLUMN(Design_StartInv)),"NOTFOUND")</f>
        <v>NOTFOUND</v>
      </c>
      <c r="I218" s="7" t="str">
        <f>_xlfn.IFNA(INDEX(Design, MATCH(D218,Design_FromToId,0),COLUMN(Design_EndInv)),"NOTFOUND")</f>
        <v>NOTFOUND</v>
      </c>
    </row>
    <row r="219" spans="4:9" x14ac:dyDescent="0.25">
      <c r="D219" s="5" t="str">
        <f t="shared" si="10"/>
        <v>-</v>
      </c>
      <c r="F219" s="6" t="str">
        <f>_xlfn.IFNA(INDEX(Design,MATCH(D219,Design_FromToId,0),COLUMN(Design_Slope)),"NOTFOUND")</f>
        <v>NOTFOUND</v>
      </c>
      <c r="H219" s="7" t="str">
        <f>_xlfn.IFNA(INDEX(Design, MATCH(D219,Design_FromToId,0),COLUMN(Design_StartInv)),"NOTFOUND")</f>
        <v>NOTFOUND</v>
      </c>
      <c r="I219" s="7" t="str">
        <f>_xlfn.IFNA(INDEX(Design, MATCH(D219,Design_FromToId,0),COLUMN(Design_EndInv)),"NOTFOUND")</f>
        <v>NOTFOUND</v>
      </c>
    </row>
    <row r="220" spans="4:9" x14ac:dyDescent="0.25">
      <c r="D220" s="5" t="str">
        <f t="shared" si="10"/>
        <v>-</v>
      </c>
      <c r="F220" s="6" t="str">
        <f>_xlfn.IFNA(INDEX(Design,MATCH(D220,Design_FromToId,0),COLUMN(Design_Slope)),"NOTFOUND")</f>
        <v>NOTFOUND</v>
      </c>
      <c r="H220" s="7" t="str">
        <f>_xlfn.IFNA(INDEX(Design, MATCH(D220,Design_FromToId,0),COLUMN(Design_StartInv)),"NOTFOUND")</f>
        <v>NOTFOUND</v>
      </c>
      <c r="I220" s="7" t="str">
        <f>_xlfn.IFNA(INDEX(Design, MATCH(D220,Design_FromToId,0),COLUMN(Design_EndInv)),"NOTFOUND")</f>
        <v>NOTFOUND</v>
      </c>
    </row>
    <row r="221" spans="4:9" x14ac:dyDescent="0.25">
      <c r="D221" s="5" t="str">
        <f t="shared" si="10"/>
        <v>-</v>
      </c>
      <c r="F221" s="6" t="str">
        <f>_xlfn.IFNA(INDEX(Design,MATCH(D221,Design_FromToId,0),COLUMN(Design_Slope)),"NOTFOUND")</f>
        <v>NOTFOUND</v>
      </c>
      <c r="H221" s="7" t="str">
        <f>_xlfn.IFNA(INDEX(Design, MATCH(D221,Design_FromToId,0),COLUMN(Design_StartInv)),"NOTFOUND")</f>
        <v>NOTFOUND</v>
      </c>
      <c r="I221" s="7" t="str">
        <f>_xlfn.IFNA(INDEX(Design, MATCH(D221,Design_FromToId,0),COLUMN(Design_EndInv)),"NOTFOUND")</f>
        <v>NOTFOUND</v>
      </c>
    </row>
    <row r="222" spans="4:9" x14ac:dyDescent="0.25">
      <c r="D222" s="5" t="str">
        <f t="shared" si="10"/>
        <v>-</v>
      </c>
      <c r="F222" s="6" t="str">
        <f>_xlfn.IFNA(INDEX(Design,MATCH(D222,Design_FromToId,0),COLUMN(Design_Slope)),"NOTFOUND")</f>
        <v>NOTFOUND</v>
      </c>
      <c r="H222" s="7" t="str">
        <f>_xlfn.IFNA(INDEX(Design, MATCH(D222,Design_FromToId,0),COLUMN(Design_StartInv)),"NOTFOUND")</f>
        <v>NOTFOUND</v>
      </c>
      <c r="I222" s="7" t="str">
        <f>_xlfn.IFNA(INDEX(Design, MATCH(D222,Design_FromToId,0),COLUMN(Design_EndInv)),"NOTFOUND")</f>
        <v>NOTFOUND</v>
      </c>
    </row>
    <row r="223" spans="4:9" x14ac:dyDescent="0.25">
      <c r="D223" s="5" t="str">
        <f t="shared" si="10"/>
        <v>-</v>
      </c>
      <c r="F223" s="6" t="str">
        <f>_xlfn.IFNA(INDEX(Design,MATCH(D223,Design_FromToId,0),COLUMN(Design_Slope)),"NOTFOUND")</f>
        <v>NOTFOUND</v>
      </c>
      <c r="H223" s="7" t="str">
        <f>_xlfn.IFNA(INDEX(Design, MATCH(D223,Design_FromToId,0),COLUMN(Design_StartInv)),"NOTFOUND")</f>
        <v>NOTFOUND</v>
      </c>
      <c r="I223" s="7" t="str">
        <f>_xlfn.IFNA(INDEX(Design, MATCH(D223,Design_FromToId,0),COLUMN(Design_EndInv)),"NOTFOUND")</f>
        <v>NOTFOUND</v>
      </c>
    </row>
    <row r="224" spans="4:9" x14ac:dyDescent="0.25">
      <c r="D224" s="5" t="str">
        <f t="shared" si="10"/>
        <v>-</v>
      </c>
      <c r="F224" s="6" t="str">
        <f>_xlfn.IFNA(INDEX(Design,MATCH(D224,Design_FromToId,0),COLUMN(Design_Slope)),"NOTFOUND")</f>
        <v>NOTFOUND</v>
      </c>
      <c r="H224" s="7" t="str">
        <f>_xlfn.IFNA(INDEX(Design, MATCH(D224,Design_FromToId,0),COLUMN(Design_StartInv)),"NOTFOUND")</f>
        <v>NOTFOUND</v>
      </c>
      <c r="I224" s="7" t="str">
        <f>_xlfn.IFNA(INDEX(Design, MATCH(D224,Design_FromToId,0),COLUMN(Design_EndInv)),"NOTFOUND")</f>
        <v>NOTFOUND</v>
      </c>
    </row>
    <row r="225" spans="4:9" x14ac:dyDescent="0.25">
      <c r="D225" s="5" t="str">
        <f t="shared" si="10"/>
        <v>-</v>
      </c>
      <c r="F225" s="6" t="str">
        <f>_xlfn.IFNA(INDEX(Design,MATCH(D225,Design_FromToId,0),COLUMN(Design_Slope)),"NOTFOUND")</f>
        <v>NOTFOUND</v>
      </c>
      <c r="H225" s="7" t="str">
        <f>_xlfn.IFNA(INDEX(Design, MATCH(D225,Design_FromToId,0),COLUMN(Design_StartInv)),"NOTFOUND")</f>
        <v>NOTFOUND</v>
      </c>
      <c r="I225" s="7" t="str">
        <f>_xlfn.IFNA(INDEX(Design, MATCH(D225,Design_FromToId,0),COLUMN(Design_EndInv)),"NOTFOUND")</f>
        <v>NOTFOUND</v>
      </c>
    </row>
    <row r="226" spans="4:9" x14ac:dyDescent="0.25">
      <c r="D226" s="5" t="str">
        <f t="shared" si="10"/>
        <v>-</v>
      </c>
      <c r="F226" s="6" t="str">
        <f>_xlfn.IFNA(INDEX(Design,MATCH(D226,Design_FromToId,0),COLUMN(Design_Slope)),"NOTFOUND")</f>
        <v>NOTFOUND</v>
      </c>
      <c r="H226" s="7" t="str">
        <f>_xlfn.IFNA(INDEX(Design, MATCH(D226,Design_FromToId,0),COLUMN(Design_StartInv)),"NOTFOUND")</f>
        <v>NOTFOUND</v>
      </c>
      <c r="I226" s="7" t="str">
        <f>_xlfn.IFNA(INDEX(Design, MATCH(D226,Design_FromToId,0),COLUMN(Design_EndInv)),"NOTFOUND")</f>
        <v>NOTFOUND</v>
      </c>
    </row>
    <row r="227" spans="4:9" x14ac:dyDescent="0.25">
      <c r="D227" s="5" t="str">
        <f t="shared" si="10"/>
        <v>-</v>
      </c>
      <c r="F227" s="6" t="str">
        <f>_xlfn.IFNA(INDEX(Design,MATCH(D227,Design_FromToId,0),COLUMN(Design_Slope)),"NOTFOUND")</f>
        <v>NOTFOUND</v>
      </c>
      <c r="H227" s="7" t="str">
        <f>_xlfn.IFNA(INDEX(Design, MATCH(D227,Design_FromToId,0),COLUMN(Design_StartInv)),"NOTFOUND")</f>
        <v>NOTFOUND</v>
      </c>
      <c r="I227" s="7" t="str">
        <f>_xlfn.IFNA(INDEX(Design, MATCH(D227,Design_FromToId,0),COLUMN(Design_EndInv)),"NOTFOUND")</f>
        <v>NOTFOUND</v>
      </c>
    </row>
    <row r="228" spans="4:9" x14ac:dyDescent="0.25">
      <c r="D228" s="5" t="str">
        <f t="shared" si="10"/>
        <v>-</v>
      </c>
      <c r="F228" s="6" t="str">
        <f>_xlfn.IFNA(INDEX(Design,MATCH(D228,Design_FromToId,0),COLUMN(Design_Slope)),"NOTFOUND")</f>
        <v>NOTFOUND</v>
      </c>
      <c r="H228" s="7" t="str">
        <f>_xlfn.IFNA(INDEX(Design, MATCH(D228,Design_FromToId,0),COLUMN(Design_StartInv)),"NOTFOUND")</f>
        <v>NOTFOUND</v>
      </c>
      <c r="I228" s="7" t="str">
        <f>_xlfn.IFNA(INDEX(Design, MATCH(D228,Design_FromToId,0),COLUMN(Design_EndInv)),"NOTFOUND")</f>
        <v>NOTFOUND</v>
      </c>
    </row>
    <row r="229" spans="4:9" x14ac:dyDescent="0.25">
      <c r="D229" s="5" t="str">
        <f t="shared" si="10"/>
        <v>-</v>
      </c>
      <c r="F229" s="6" t="str">
        <f>_xlfn.IFNA(INDEX(Design,MATCH(D229,Design_FromToId,0),COLUMN(Design_Slope)),"NOTFOUND")</f>
        <v>NOTFOUND</v>
      </c>
      <c r="H229" s="7" t="str">
        <f>_xlfn.IFNA(INDEX(Design, MATCH(D229,Design_FromToId,0),COLUMN(Design_StartInv)),"NOTFOUND")</f>
        <v>NOTFOUND</v>
      </c>
      <c r="I229" s="7" t="str">
        <f>_xlfn.IFNA(INDEX(Design, MATCH(D229,Design_FromToId,0),COLUMN(Design_EndInv)),"NOTFOUND")</f>
        <v>NOTFOUND</v>
      </c>
    </row>
    <row r="230" spans="4:9" x14ac:dyDescent="0.25">
      <c r="D230" s="5" t="str">
        <f t="shared" si="10"/>
        <v>-</v>
      </c>
      <c r="F230" s="6" t="str">
        <f>_xlfn.IFNA(INDEX(Design,MATCH(D230,Design_FromToId,0),COLUMN(Design_Slope)),"NOTFOUND")</f>
        <v>NOTFOUND</v>
      </c>
      <c r="H230" s="7" t="str">
        <f>_xlfn.IFNA(INDEX(Design, MATCH(D230,Design_FromToId,0),COLUMN(Design_StartInv)),"NOTFOUND")</f>
        <v>NOTFOUND</v>
      </c>
      <c r="I230" s="7" t="str">
        <f>_xlfn.IFNA(INDEX(Design, MATCH(D230,Design_FromToId,0),COLUMN(Design_EndInv)),"NOTFOUND")</f>
        <v>NOTFOUND</v>
      </c>
    </row>
    <row r="231" spans="4:9" x14ac:dyDescent="0.25">
      <c r="D231" s="5" t="str">
        <f t="shared" si="10"/>
        <v>-</v>
      </c>
      <c r="F231" s="6" t="str">
        <f>_xlfn.IFNA(INDEX(Design,MATCH(D231,Design_FromToId,0),COLUMN(Design_Slope)),"NOTFOUND")</f>
        <v>NOTFOUND</v>
      </c>
      <c r="H231" s="7" t="str">
        <f>_xlfn.IFNA(INDEX(Design, MATCH(D231,Design_FromToId,0),COLUMN(Design_StartInv)),"NOTFOUND")</f>
        <v>NOTFOUND</v>
      </c>
      <c r="I231" s="7" t="str">
        <f>_xlfn.IFNA(INDEX(Design, MATCH(D231,Design_FromToId,0),COLUMN(Design_EndInv)),"NOTFOUND")</f>
        <v>NOTFOUND</v>
      </c>
    </row>
    <row r="232" spans="4:9" x14ac:dyDescent="0.25">
      <c r="D232" s="5" t="str">
        <f t="shared" si="10"/>
        <v>-</v>
      </c>
      <c r="F232" s="6" t="str">
        <f>_xlfn.IFNA(INDEX(Design,MATCH(D232,Design_FromToId,0),COLUMN(Design_Slope)),"NOTFOUND")</f>
        <v>NOTFOUND</v>
      </c>
      <c r="H232" s="7" t="str">
        <f>_xlfn.IFNA(INDEX(Design, MATCH(D232,Design_FromToId,0),COLUMN(Design_StartInv)),"NOTFOUND")</f>
        <v>NOTFOUND</v>
      </c>
      <c r="I232" s="7" t="str">
        <f>_xlfn.IFNA(INDEX(Design, MATCH(D232,Design_FromToId,0),COLUMN(Design_EndInv)),"NOTFOUND")</f>
        <v>NOTFOUND</v>
      </c>
    </row>
    <row r="233" spans="4:9" x14ac:dyDescent="0.25">
      <c r="D233" s="5" t="str">
        <f t="shared" si="10"/>
        <v>-</v>
      </c>
      <c r="F233" s="6" t="str">
        <f>_xlfn.IFNA(INDEX(Design,MATCH(D233,Design_FromToId,0),COLUMN(Design_Slope)),"NOTFOUND")</f>
        <v>NOTFOUND</v>
      </c>
      <c r="H233" s="7" t="str">
        <f>_xlfn.IFNA(INDEX(Design, MATCH(D233,Design_FromToId,0),COLUMN(Design_StartInv)),"NOTFOUND")</f>
        <v>NOTFOUND</v>
      </c>
      <c r="I233" s="7" t="str">
        <f>_xlfn.IFNA(INDEX(Design, MATCH(D233,Design_FromToId,0),COLUMN(Design_EndInv)),"NOTFOUND")</f>
        <v>NOTFOUND</v>
      </c>
    </row>
    <row r="234" spans="4:9" x14ac:dyDescent="0.25">
      <c r="D234" s="5" t="str">
        <f t="shared" si="10"/>
        <v>-</v>
      </c>
      <c r="F234" s="6" t="str">
        <f>_xlfn.IFNA(INDEX(Design,MATCH(D234,Design_FromToId,0),COLUMN(Design_Slope)),"NOTFOUND")</f>
        <v>NOTFOUND</v>
      </c>
      <c r="H234" s="7" t="str">
        <f>_xlfn.IFNA(INDEX(Design, MATCH(D234,Design_FromToId,0),COLUMN(Design_StartInv)),"NOTFOUND")</f>
        <v>NOTFOUND</v>
      </c>
      <c r="I234" s="7" t="str">
        <f>_xlfn.IFNA(INDEX(Design, MATCH(D234,Design_FromToId,0),COLUMN(Design_EndInv)),"NOTFOUND")</f>
        <v>NOTFOUND</v>
      </c>
    </row>
    <row r="235" spans="4:9" x14ac:dyDescent="0.25">
      <c r="D235" s="5" t="str">
        <f t="shared" si="10"/>
        <v>-</v>
      </c>
      <c r="F235" s="6" t="str">
        <f>_xlfn.IFNA(INDEX(Design,MATCH(D235,Design_FromToId,0),COLUMN(Design_Slope)),"NOTFOUND")</f>
        <v>NOTFOUND</v>
      </c>
      <c r="H235" s="7" t="str">
        <f>_xlfn.IFNA(INDEX(Design, MATCH(D235,Design_FromToId,0),COLUMN(Design_StartInv)),"NOTFOUND")</f>
        <v>NOTFOUND</v>
      </c>
      <c r="I235" s="7" t="str">
        <f>_xlfn.IFNA(INDEX(Design, MATCH(D235,Design_FromToId,0),COLUMN(Design_EndInv)),"NOTFOUND")</f>
        <v>NOTFOUND</v>
      </c>
    </row>
    <row r="236" spans="4:9" x14ac:dyDescent="0.25">
      <c r="D236" s="5" t="str">
        <f t="shared" si="10"/>
        <v>-</v>
      </c>
      <c r="F236" s="6" t="str">
        <f>_xlfn.IFNA(INDEX(Design,MATCH(D236,Design_FromToId,0),COLUMN(Design_Slope)),"NOTFOUND")</f>
        <v>NOTFOUND</v>
      </c>
      <c r="H236" s="7" t="str">
        <f>_xlfn.IFNA(INDEX(Design, MATCH(D236,Design_FromToId,0),COLUMN(Design_StartInv)),"NOTFOUND")</f>
        <v>NOTFOUND</v>
      </c>
      <c r="I236" s="7" t="str">
        <f>_xlfn.IFNA(INDEX(Design, MATCH(D236,Design_FromToId,0),COLUMN(Design_EndInv)),"NOTFOUND")</f>
        <v>NOTFOUND</v>
      </c>
    </row>
    <row r="237" spans="4:9" x14ac:dyDescent="0.25">
      <c r="D237" s="5" t="str">
        <f t="shared" si="10"/>
        <v>-</v>
      </c>
      <c r="F237" s="6" t="str">
        <f>_xlfn.IFNA(INDEX(Design,MATCH(D237,Design_FromToId,0),COLUMN(Design_Slope)),"NOTFOUND")</f>
        <v>NOTFOUND</v>
      </c>
      <c r="H237" s="7" t="str">
        <f>_xlfn.IFNA(INDEX(Design, MATCH(D237,Design_FromToId,0),COLUMN(Design_StartInv)),"NOTFOUND")</f>
        <v>NOTFOUND</v>
      </c>
      <c r="I237" s="7" t="str">
        <f>_xlfn.IFNA(INDEX(Design, MATCH(D237,Design_FromToId,0),COLUMN(Design_EndInv)),"NOTFOUND")</f>
        <v>NOTFOUND</v>
      </c>
    </row>
    <row r="238" spans="4:9" x14ac:dyDescent="0.25">
      <c r="D238" s="5" t="str">
        <f t="shared" si="10"/>
        <v>-</v>
      </c>
      <c r="F238" s="6" t="str">
        <f>_xlfn.IFNA(INDEX(Design,MATCH(D238,Design_FromToId,0),COLUMN(Design_Slope)),"NOTFOUND")</f>
        <v>NOTFOUND</v>
      </c>
      <c r="H238" s="7" t="str">
        <f>_xlfn.IFNA(INDEX(Design, MATCH(D238,Design_FromToId,0),COLUMN(Design_StartInv)),"NOTFOUND")</f>
        <v>NOTFOUND</v>
      </c>
      <c r="I238" s="7" t="str">
        <f>_xlfn.IFNA(INDEX(Design, MATCH(D238,Design_FromToId,0),COLUMN(Design_EndInv)),"NOTFOUND")</f>
        <v>NOTFOUND</v>
      </c>
    </row>
    <row r="239" spans="4:9" x14ac:dyDescent="0.25">
      <c r="D239" s="5" t="str">
        <f t="shared" si="10"/>
        <v>-</v>
      </c>
      <c r="F239" s="6" t="str">
        <f>_xlfn.IFNA(INDEX(Design,MATCH(D239,Design_FromToId,0),COLUMN(Design_Slope)),"NOTFOUND")</f>
        <v>NOTFOUND</v>
      </c>
      <c r="H239" s="7" t="str">
        <f>_xlfn.IFNA(INDEX(Design, MATCH(D239,Design_FromToId,0),COLUMN(Design_StartInv)),"NOTFOUND")</f>
        <v>NOTFOUND</v>
      </c>
      <c r="I239" s="7" t="str">
        <f>_xlfn.IFNA(INDEX(Design, MATCH(D239,Design_FromToId,0),COLUMN(Design_EndInv)),"NOTFOUND")</f>
        <v>NOTFOUND</v>
      </c>
    </row>
    <row r="240" spans="4:9" x14ac:dyDescent="0.25">
      <c r="D240" s="5" t="str">
        <f t="shared" si="10"/>
        <v>-</v>
      </c>
      <c r="F240" s="6" t="str">
        <f>_xlfn.IFNA(INDEX(Design,MATCH(D240,Design_FromToId,0),COLUMN(Design_Slope)),"NOTFOUND")</f>
        <v>NOTFOUND</v>
      </c>
      <c r="H240" s="7" t="str">
        <f>_xlfn.IFNA(INDEX(Design, MATCH(D240,Design_FromToId,0),COLUMN(Design_StartInv)),"NOTFOUND")</f>
        <v>NOTFOUND</v>
      </c>
      <c r="I240" s="7" t="str">
        <f>_xlfn.IFNA(INDEX(Design, MATCH(D240,Design_FromToId,0),COLUMN(Design_EndInv)),"NOTFOUND")</f>
        <v>NOTFOUND</v>
      </c>
    </row>
    <row r="241" spans="4:9" x14ac:dyDescent="0.25">
      <c r="D241" s="5" t="str">
        <f t="shared" si="10"/>
        <v>-</v>
      </c>
      <c r="F241" s="6" t="str">
        <f>_xlfn.IFNA(INDEX(Design,MATCH(D241,Design_FromToId,0),COLUMN(Design_Slope)),"NOTFOUND")</f>
        <v>NOTFOUND</v>
      </c>
      <c r="H241" s="7" t="str">
        <f>_xlfn.IFNA(INDEX(Design, MATCH(D241,Design_FromToId,0),COLUMN(Design_StartInv)),"NOTFOUND")</f>
        <v>NOTFOUND</v>
      </c>
      <c r="I241" s="7" t="str">
        <f>_xlfn.IFNA(INDEX(Design, MATCH(D241,Design_FromToId,0),COLUMN(Design_EndInv)),"NOTFOUND")</f>
        <v>NOTFOUND</v>
      </c>
    </row>
    <row r="242" spans="4:9" x14ac:dyDescent="0.25">
      <c r="D242" s="5" t="str">
        <f t="shared" si="10"/>
        <v>-</v>
      </c>
      <c r="F242" s="6" t="str">
        <f>_xlfn.IFNA(INDEX(Design,MATCH(D242,Design_FromToId,0),COLUMN(Design_Slope)),"NOTFOUND")</f>
        <v>NOTFOUND</v>
      </c>
      <c r="H242" s="7" t="str">
        <f>_xlfn.IFNA(INDEX(Design, MATCH(D242,Design_FromToId,0),COLUMN(Design_StartInv)),"NOTFOUND")</f>
        <v>NOTFOUND</v>
      </c>
      <c r="I242" s="7" t="str">
        <f>_xlfn.IFNA(INDEX(Design, MATCH(D242,Design_FromToId,0),COLUMN(Design_EndInv)),"NOTFOUND")</f>
        <v>NOTFOUND</v>
      </c>
    </row>
    <row r="243" spans="4:9" x14ac:dyDescent="0.25">
      <c r="D243" s="5" t="str">
        <f t="shared" si="10"/>
        <v>-</v>
      </c>
      <c r="F243" s="6" t="str">
        <f>_xlfn.IFNA(INDEX(Design,MATCH(D243,Design_FromToId,0),COLUMN(Design_Slope)),"NOTFOUND")</f>
        <v>NOTFOUND</v>
      </c>
      <c r="H243" s="7" t="str">
        <f>_xlfn.IFNA(INDEX(Design, MATCH(D243,Design_FromToId,0),COLUMN(Design_StartInv)),"NOTFOUND")</f>
        <v>NOTFOUND</v>
      </c>
      <c r="I243" s="7" t="str">
        <f>_xlfn.IFNA(INDEX(Design, MATCH(D243,Design_FromToId,0),COLUMN(Design_EndInv)),"NOTFOUND")</f>
        <v>NOTFOUND</v>
      </c>
    </row>
    <row r="244" spans="4:9" x14ac:dyDescent="0.25">
      <c r="D244" s="5" t="str">
        <f t="shared" si="10"/>
        <v>-</v>
      </c>
      <c r="F244" s="6" t="str">
        <f>_xlfn.IFNA(INDEX(Design,MATCH(D244,Design_FromToId,0),COLUMN(Design_Slope)),"NOTFOUND")</f>
        <v>NOTFOUND</v>
      </c>
      <c r="H244" s="7" t="str">
        <f>_xlfn.IFNA(INDEX(Design, MATCH(D244,Design_FromToId,0),COLUMN(Design_StartInv)),"NOTFOUND")</f>
        <v>NOTFOUND</v>
      </c>
      <c r="I244" s="7" t="str">
        <f>_xlfn.IFNA(INDEX(Design, MATCH(D244,Design_FromToId,0),COLUMN(Design_EndInv)),"NOTFOUND")</f>
        <v>NOTFOUND</v>
      </c>
    </row>
    <row r="245" spans="4:9" x14ac:dyDescent="0.25">
      <c r="D245" s="5" t="str">
        <f t="shared" si="10"/>
        <v>-</v>
      </c>
      <c r="F245" s="6" t="str">
        <f>_xlfn.IFNA(INDEX(Design,MATCH(D245,Design_FromToId,0),COLUMN(Design_Slope)),"NOTFOUND")</f>
        <v>NOTFOUND</v>
      </c>
      <c r="H245" s="7" t="str">
        <f>_xlfn.IFNA(INDEX(Design, MATCH(D245,Design_FromToId,0),COLUMN(Design_StartInv)),"NOTFOUND")</f>
        <v>NOTFOUND</v>
      </c>
      <c r="I245" s="7" t="str">
        <f>_xlfn.IFNA(INDEX(Design, MATCH(D245,Design_FromToId,0),COLUMN(Design_EndInv)),"NOTFOUND")</f>
        <v>NOTFOUND</v>
      </c>
    </row>
    <row r="246" spans="4:9" x14ac:dyDescent="0.25">
      <c r="D246" s="5" t="str">
        <f t="shared" si="10"/>
        <v>-</v>
      </c>
      <c r="F246" s="6" t="str">
        <f>_xlfn.IFNA(INDEX(Design,MATCH(D246,Design_FromToId,0),COLUMN(Design_Slope)),"NOTFOUND")</f>
        <v>NOTFOUND</v>
      </c>
      <c r="H246" s="7" t="str">
        <f>_xlfn.IFNA(INDEX(Design, MATCH(D246,Design_FromToId,0),COLUMN(Design_StartInv)),"NOTFOUND")</f>
        <v>NOTFOUND</v>
      </c>
      <c r="I246" s="7" t="str">
        <f>_xlfn.IFNA(INDEX(Design, MATCH(D246,Design_FromToId,0),COLUMN(Design_EndInv)),"NOTFOUND")</f>
        <v>NOTFOUND</v>
      </c>
    </row>
    <row r="247" spans="4:9" x14ac:dyDescent="0.25">
      <c r="D247" s="5" t="str">
        <f t="shared" si="10"/>
        <v>-</v>
      </c>
      <c r="F247" s="6" t="str">
        <f>_xlfn.IFNA(INDEX(Design,MATCH(D247,Design_FromToId,0),COLUMN(Design_Slope)),"NOTFOUND")</f>
        <v>NOTFOUND</v>
      </c>
      <c r="H247" s="7" t="str">
        <f>_xlfn.IFNA(INDEX(Design, MATCH(D247,Design_FromToId,0),COLUMN(Design_StartInv)),"NOTFOUND")</f>
        <v>NOTFOUND</v>
      </c>
      <c r="I247" s="7" t="str">
        <f>_xlfn.IFNA(INDEX(Design, MATCH(D247,Design_FromToId,0),COLUMN(Design_EndInv)),"NOTFOUND")</f>
        <v>NOTFOUND</v>
      </c>
    </row>
    <row r="248" spans="4:9" x14ac:dyDescent="0.25">
      <c r="D248" s="5" t="str">
        <f t="shared" si="10"/>
        <v>-</v>
      </c>
      <c r="F248" s="6" t="str">
        <f>_xlfn.IFNA(INDEX(Design,MATCH(D248,Design_FromToId,0),COLUMN(Design_Slope)),"NOTFOUND")</f>
        <v>NOTFOUND</v>
      </c>
      <c r="H248" s="7" t="str">
        <f>_xlfn.IFNA(INDEX(Design, MATCH(D248,Design_FromToId,0),COLUMN(Design_StartInv)),"NOTFOUND")</f>
        <v>NOTFOUND</v>
      </c>
      <c r="I248" s="7" t="str">
        <f>_xlfn.IFNA(INDEX(Design, MATCH(D248,Design_FromToId,0),COLUMN(Design_EndInv)),"NOTFOUND")</f>
        <v>NOTFOUND</v>
      </c>
    </row>
    <row r="249" spans="4:9" x14ac:dyDescent="0.25">
      <c r="D249" s="5" t="str">
        <f t="shared" si="10"/>
        <v>-</v>
      </c>
      <c r="F249" s="6" t="str">
        <f>_xlfn.IFNA(INDEX(Design,MATCH(D249,Design_FromToId,0),COLUMN(Design_Slope)),"NOTFOUND")</f>
        <v>NOTFOUND</v>
      </c>
      <c r="H249" s="7" t="str">
        <f>_xlfn.IFNA(INDEX(Design, MATCH(D249,Design_FromToId,0),COLUMN(Design_StartInv)),"NOTFOUND")</f>
        <v>NOTFOUND</v>
      </c>
      <c r="I249" s="7" t="str">
        <f>_xlfn.IFNA(INDEX(Design, MATCH(D249,Design_FromToId,0),COLUMN(Design_EndInv)),"NOTFOUND")</f>
        <v>NOTFOUND</v>
      </c>
    </row>
    <row r="250" spans="4:9" x14ac:dyDescent="0.25">
      <c r="D250" s="5" t="str">
        <f t="shared" si="10"/>
        <v>-</v>
      </c>
      <c r="F250" s="6" t="str">
        <f>_xlfn.IFNA(INDEX(Design,MATCH(D250,Design_FromToId,0),COLUMN(Design_Slope)),"NOTFOUND")</f>
        <v>NOTFOUND</v>
      </c>
      <c r="H250" s="7" t="str">
        <f>_xlfn.IFNA(INDEX(Design, MATCH(D250,Design_FromToId,0),COLUMN(Design_StartInv)),"NOTFOUND")</f>
        <v>NOTFOUND</v>
      </c>
      <c r="I250" s="7" t="str">
        <f>_xlfn.IFNA(INDEX(Design, MATCH(D250,Design_FromToId,0),COLUMN(Design_EndInv)),"NOTFOUND")</f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2019-07-14T14:24:52Z</dcterms:modified>
</cp:coreProperties>
</file>