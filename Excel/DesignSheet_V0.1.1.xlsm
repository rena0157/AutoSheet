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A0ECA7DC-07E6-4B98-A495-831929070507}" xr6:coauthVersionLast="43" xr6:coauthVersionMax="43" xr10:uidLastSave="{00000000-0000-0000-0000-000000000000}"/>
  <bookViews>
    <workbookView xWindow="165" yWindow="1995" windowWidth="21600" windowHeight="14445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8" i="3" l="1"/>
  <c r="E6" i="3"/>
  <c r="AN6" i="3" s="1"/>
  <c r="AQ6" i="3" s="1"/>
  <c r="S6" i="3"/>
  <c r="V6" i="3" s="1"/>
  <c r="T6" i="3"/>
  <c r="U6" i="3"/>
  <c r="AA6" i="3"/>
  <c r="AE6" i="3"/>
  <c r="AI6" i="3"/>
  <c r="E7" i="3"/>
  <c r="AU7" i="3" s="1"/>
  <c r="S7" i="3"/>
  <c r="T7" i="3"/>
  <c r="U7" i="3"/>
  <c r="AA7" i="3"/>
  <c r="AE7" i="3"/>
  <c r="AI7" i="3"/>
  <c r="E8" i="3"/>
  <c r="AN8" i="3" s="1"/>
  <c r="AQ8" i="3" s="1"/>
  <c r="S8" i="3"/>
  <c r="T8" i="3"/>
  <c r="U8" i="3"/>
  <c r="AA8" i="3"/>
  <c r="AE8" i="3"/>
  <c r="AI8" i="3"/>
  <c r="E9" i="3"/>
  <c r="AU9" i="3" s="1"/>
  <c r="S9" i="3"/>
  <c r="T9" i="3"/>
  <c r="U9" i="3"/>
  <c r="AA9" i="3"/>
  <c r="AB9" i="3" s="1"/>
  <c r="AB10" i="3" s="1"/>
  <c r="AE9" i="3"/>
  <c r="AF9" i="3" s="1"/>
  <c r="AF10" i="3" s="1"/>
  <c r="AI9" i="3"/>
  <c r="AJ9" i="3" s="1"/>
  <c r="E10" i="3"/>
  <c r="S10" i="3"/>
  <c r="T10" i="3"/>
  <c r="U10" i="3"/>
  <c r="AA10" i="3"/>
  <c r="AE10" i="3"/>
  <c r="AI10" i="3"/>
  <c r="E11" i="3"/>
  <c r="AN11" i="3" s="1"/>
  <c r="AQ11" i="3" s="1"/>
  <c r="S11" i="3"/>
  <c r="T11" i="3"/>
  <c r="U11" i="3"/>
  <c r="AA11" i="3"/>
  <c r="AE11" i="3"/>
  <c r="AI11" i="3"/>
  <c r="E12" i="3"/>
  <c r="S12" i="3"/>
  <c r="T12" i="3"/>
  <c r="U12" i="3"/>
  <c r="AA12" i="3"/>
  <c r="AE12" i="3"/>
  <c r="AI12" i="3"/>
  <c r="E13" i="3"/>
  <c r="AU13" i="3" s="1"/>
  <c r="S13" i="3"/>
  <c r="T13" i="3"/>
  <c r="U13" i="3"/>
  <c r="AA13" i="3"/>
  <c r="AB13" i="3" s="1"/>
  <c r="AE13" i="3"/>
  <c r="AF13" i="3" s="1"/>
  <c r="AI13" i="3"/>
  <c r="AJ13" i="3" s="1"/>
  <c r="E14" i="3"/>
  <c r="AU14" i="3" s="1"/>
  <c r="S14" i="3"/>
  <c r="T14" i="3"/>
  <c r="U14" i="3"/>
  <c r="AA14" i="3"/>
  <c r="AB14" i="3" s="1"/>
  <c r="AE14" i="3"/>
  <c r="AF14" i="3" s="1"/>
  <c r="AI14" i="3"/>
  <c r="AJ14" i="3" s="1"/>
  <c r="E15" i="3"/>
  <c r="AN15" i="3" s="1"/>
  <c r="AQ15" i="3" s="1"/>
  <c r="S15" i="3"/>
  <c r="T15" i="3"/>
  <c r="U15" i="3"/>
  <c r="AA15" i="3"/>
  <c r="AE15" i="3"/>
  <c r="AI15" i="3"/>
  <c r="E16" i="3"/>
  <c r="AN16" i="3" s="1"/>
  <c r="AQ16" i="3" s="1"/>
  <c r="S16" i="3"/>
  <c r="T16" i="3"/>
  <c r="U16" i="3"/>
  <c r="AA16" i="3"/>
  <c r="AB16" i="3" s="1"/>
  <c r="AE16" i="3"/>
  <c r="AF16" i="3" s="1"/>
  <c r="AI16" i="3"/>
  <c r="AJ16" i="3" s="1"/>
  <c r="E17" i="3"/>
  <c r="AU17" i="3" s="1"/>
  <c r="S17" i="3"/>
  <c r="V17" i="3" s="1"/>
  <c r="T17" i="3"/>
  <c r="U17" i="3"/>
  <c r="AA17" i="3"/>
  <c r="AE17" i="3"/>
  <c r="AI17" i="3"/>
  <c r="E18" i="3"/>
  <c r="S18" i="3"/>
  <c r="T18" i="3"/>
  <c r="U18" i="3"/>
  <c r="AA18" i="3"/>
  <c r="AB18" i="3" s="1"/>
  <c r="AE18" i="3"/>
  <c r="AF18" i="3" s="1"/>
  <c r="AI18" i="3"/>
  <c r="AJ18" i="3" s="1"/>
  <c r="E19" i="3"/>
  <c r="AU19" i="3" s="1"/>
  <c r="S19" i="3"/>
  <c r="T19" i="3"/>
  <c r="U19" i="3"/>
  <c r="AA19" i="3"/>
  <c r="AE19" i="3"/>
  <c r="AI19" i="3"/>
  <c r="E20" i="3"/>
  <c r="S20" i="3"/>
  <c r="T20" i="3"/>
  <c r="U20" i="3"/>
  <c r="AA20" i="3"/>
  <c r="AE20" i="3"/>
  <c r="AI20" i="3"/>
  <c r="E21" i="3"/>
  <c r="AU21" i="3" s="1"/>
  <c r="S21" i="3"/>
  <c r="T21" i="3"/>
  <c r="U21" i="3"/>
  <c r="AA21" i="3"/>
  <c r="AB21" i="3"/>
  <c r="AE21" i="3"/>
  <c r="AF21" i="3" s="1"/>
  <c r="AI21" i="3"/>
  <c r="AJ21" i="3" s="1"/>
  <c r="E22" i="3"/>
  <c r="AN22" i="3" s="1"/>
  <c r="AQ22" i="3" s="1"/>
  <c r="S22" i="3"/>
  <c r="V22" i="3" s="1"/>
  <c r="W22" i="3" s="1"/>
  <c r="T22" i="3"/>
  <c r="U22" i="3"/>
  <c r="AA22" i="3"/>
  <c r="AB22" i="3" s="1"/>
  <c r="AE22" i="3"/>
  <c r="AF22" i="3" s="1"/>
  <c r="AI22" i="3"/>
  <c r="AJ22" i="3"/>
  <c r="AJ23" i="3" s="1"/>
  <c r="E23" i="3"/>
  <c r="AU23" i="3" s="1"/>
  <c r="S23" i="3"/>
  <c r="T23" i="3"/>
  <c r="U23" i="3"/>
  <c r="AA23" i="3"/>
  <c r="AE23" i="3"/>
  <c r="AI23" i="3"/>
  <c r="E24" i="3"/>
  <c r="AN24" i="3" s="1"/>
  <c r="AQ24" i="3" s="1"/>
  <c r="S24" i="3"/>
  <c r="T24" i="3"/>
  <c r="U24" i="3"/>
  <c r="AA24" i="3"/>
  <c r="AE24" i="3"/>
  <c r="AI24" i="3"/>
  <c r="E25" i="3"/>
  <c r="AU25" i="3" s="1"/>
  <c r="S25" i="3"/>
  <c r="T25" i="3"/>
  <c r="U25" i="3"/>
  <c r="AA25" i="3"/>
  <c r="AB25" i="3" s="1"/>
  <c r="AB26" i="3" s="1"/>
  <c r="AE25" i="3"/>
  <c r="AF25" i="3"/>
  <c r="AI25" i="3"/>
  <c r="AJ25" i="3" s="1"/>
  <c r="E26" i="3"/>
  <c r="AN26" i="3" s="1"/>
  <c r="AQ26" i="3" s="1"/>
  <c r="S26" i="3"/>
  <c r="T26" i="3"/>
  <c r="U26" i="3"/>
  <c r="AA26" i="3"/>
  <c r="AE26" i="3"/>
  <c r="AF26" i="3"/>
  <c r="AI26" i="3"/>
  <c r="AJ26" i="3"/>
  <c r="E27" i="3"/>
  <c r="AU27" i="3" s="1"/>
  <c r="S27" i="3"/>
  <c r="T27" i="3"/>
  <c r="U27" i="3"/>
  <c r="AA27" i="3"/>
  <c r="AE27" i="3"/>
  <c r="AI27" i="3"/>
  <c r="E28" i="3"/>
  <c r="S28" i="3"/>
  <c r="T28" i="3"/>
  <c r="U28" i="3"/>
  <c r="AA28" i="3"/>
  <c r="AE28" i="3"/>
  <c r="AI28" i="3"/>
  <c r="BF28" i="3"/>
  <c r="AS11" i="3"/>
  <c r="AS22" i="3"/>
  <c r="AS6" i="3"/>
  <c r="AS15" i="3"/>
  <c r="AS24" i="3"/>
  <c r="AF23" i="3" l="1"/>
  <c r="AF17" i="3"/>
  <c r="AF19" i="3" s="1"/>
  <c r="AF20" i="3" s="1"/>
  <c r="AF24" i="3" s="1"/>
  <c r="AF27" i="3" s="1"/>
  <c r="AU22" i="3"/>
  <c r="AN7" i="3"/>
  <c r="AQ7" i="3" s="1"/>
  <c r="AJ10" i="3"/>
  <c r="AJ15" i="3"/>
  <c r="AN9" i="3"/>
  <c r="AQ9" i="3" s="1"/>
  <c r="AN14" i="3"/>
  <c r="AQ14" i="3" s="1"/>
  <c r="AN13" i="3"/>
  <c r="AQ13" i="3" s="1"/>
  <c r="AN17" i="3"/>
  <c r="AQ17" i="3" s="1"/>
  <c r="AU16" i="3"/>
  <c r="AB15" i="3"/>
  <c r="AB17" i="3"/>
  <c r="AB19" i="3" s="1"/>
  <c r="AB20" i="3" s="1"/>
  <c r="AJ17" i="3"/>
  <c r="AJ19" i="3" s="1"/>
  <c r="AJ20" i="3" s="1"/>
  <c r="AJ24" i="3" s="1"/>
  <c r="AN19" i="3"/>
  <c r="AQ19" i="3" s="1"/>
  <c r="V19" i="3"/>
  <c r="V16" i="3"/>
  <c r="W16" i="3" s="1"/>
  <c r="W17" i="3" s="1"/>
  <c r="V21" i="3"/>
  <c r="W21" i="3" s="1"/>
  <c r="AB23" i="3"/>
  <c r="V7" i="3"/>
  <c r="V9" i="3"/>
  <c r="W9" i="3" s="1"/>
  <c r="AF15" i="3"/>
  <c r="V11" i="3"/>
  <c r="AJ27" i="3"/>
  <c r="V13" i="3"/>
  <c r="W13" i="3" s="1"/>
  <c r="AN27" i="3"/>
  <c r="AQ27" i="3" s="1"/>
  <c r="AN25" i="3"/>
  <c r="AQ25" i="3" s="1"/>
  <c r="AU24" i="3"/>
  <c r="AN23" i="3"/>
  <c r="AQ23" i="3" s="1"/>
  <c r="AN21" i="3"/>
  <c r="AQ21" i="3" s="1"/>
  <c r="AU15" i="3"/>
  <c r="AU11" i="3"/>
  <c r="AU8" i="3"/>
  <c r="AU6" i="3"/>
  <c r="AT24" i="3"/>
  <c r="AT15" i="3"/>
  <c r="AT6" i="3"/>
  <c r="AT22" i="3"/>
  <c r="Y22" i="3" s="1"/>
  <c r="AT11" i="3"/>
  <c r="AU26" i="3"/>
  <c r="V26" i="3"/>
  <c r="V15" i="3"/>
  <c r="AU18" i="3"/>
  <c r="AN18" i="3"/>
  <c r="AQ18" i="3" s="1"/>
  <c r="V28" i="3"/>
  <c r="V27" i="3"/>
  <c r="V24" i="3"/>
  <c r="AN10" i="3"/>
  <c r="AQ10" i="3" s="1"/>
  <c r="AU10" i="3"/>
  <c r="V25" i="3"/>
  <c r="W25" i="3" s="1"/>
  <c r="V23" i="3"/>
  <c r="V20" i="3"/>
  <c r="V18" i="3"/>
  <c r="W18" i="3" s="1"/>
  <c r="V8" i="3"/>
  <c r="V14" i="3"/>
  <c r="W14" i="3" s="1"/>
  <c r="V12" i="3"/>
  <c r="V10" i="3"/>
  <c r="AS7" i="3"/>
  <c r="AS9" i="3"/>
  <c r="AS13" i="3"/>
  <c r="AS17" i="3"/>
  <c r="AS19" i="3"/>
  <c r="AS25" i="3"/>
  <c r="AS23" i="3"/>
  <c r="AS21" i="3"/>
  <c r="AS26" i="3"/>
  <c r="AS16" i="3"/>
  <c r="AS14" i="3"/>
  <c r="AS27" i="3"/>
  <c r="AS8" i="3"/>
  <c r="AT7" i="3" l="1"/>
  <c r="Y7" i="3" s="1"/>
  <c r="W10" i="3"/>
  <c r="AT17" i="3"/>
  <c r="Y17" i="3" s="1"/>
  <c r="AT13" i="3"/>
  <c r="Y13" i="3" s="1"/>
  <c r="AT9" i="3"/>
  <c r="Y9" i="3" s="1"/>
  <c r="AB24" i="3"/>
  <c r="AB27" i="3" s="1"/>
  <c r="W23" i="3"/>
  <c r="AT19" i="3"/>
  <c r="Y19" i="3" s="1"/>
  <c r="W19" i="3"/>
  <c r="W20" i="3" s="1"/>
  <c r="W24" i="3" s="1"/>
  <c r="W27" i="3" s="1"/>
  <c r="W26" i="3"/>
  <c r="AT25" i="3"/>
  <c r="Y25" i="3" s="1"/>
  <c r="Y24" i="3"/>
  <c r="AT23" i="3"/>
  <c r="Y23" i="3" s="1"/>
  <c r="AT21" i="3"/>
  <c r="Y21" i="3" s="1"/>
  <c r="W15" i="3"/>
  <c r="Y15" i="3"/>
  <c r="Y11" i="3"/>
  <c r="Y6" i="3"/>
  <c r="AT8" i="3"/>
  <c r="Y8" i="3" s="1"/>
  <c r="AT27" i="3"/>
  <c r="Y27" i="3" s="1"/>
  <c r="AT14" i="3"/>
  <c r="Y14" i="3" s="1"/>
  <c r="AT16" i="3"/>
  <c r="Y16" i="3" s="1"/>
  <c r="AT26" i="3"/>
  <c r="Y26" i="3" s="1"/>
  <c r="AS18" i="3"/>
  <c r="AS10" i="3"/>
  <c r="AT10" i="3" l="1"/>
  <c r="Y10" i="3" s="1"/>
  <c r="AT18" i="3"/>
  <c r="Y18" i="3" s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B4" i="3"/>
  <c r="BB3" i="3"/>
  <c r="AK3" i="3"/>
  <c r="AI4" i="3"/>
  <c r="AI5" i="3"/>
  <c r="AI3" i="3"/>
  <c r="AJ3" i="3" s="1"/>
  <c r="AG3" i="3"/>
  <c r="AE4" i="3"/>
  <c r="AE5" i="3"/>
  <c r="AE3" i="3"/>
  <c r="AF3" i="3" s="1"/>
  <c r="AH3" i="3" s="1"/>
  <c r="D10" i="1"/>
  <c r="D9" i="1"/>
  <c r="D8" i="1"/>
  <c r="D7" i="1"/>
  <c r="D6" i="1"/>
  <c r="D5" i="1"/>
  <c r="E4" i="3"/>
  <c r="E5" i="3"/>
  <c r="AC3" i="3"/>
  <c r="AU20" i="3" l="1"/>
  <c r="AU28" i="3"/>
  <c r="AN28" i="3"/>
  <c r="AQ28" i="3" s="1"/>
  <c r="AN20" i="3"/>
  <c r="AQ20" i="3" s="1"/>
  <c r="AN12" i="3"/>
  <c r="AQ12" i="3" s="1"/>
  <c r="AU12" i="3"/>
  <c r="AL3" i="3"/>
  <c r="AJ4" i="3"/>
  <c r="AJ5" i="3" s="1"/>
  <c r="AJ6" i="3" s="1"/>
  <c r="AJ7" i="3" s="1"/>
  <c r="AJ8" i="3" s="1"/>
  <c r="AJ11" i="3" s="1"/>
  <c r="AJ12" i="3" s="1"/>
  <c r="AJ28" i="3" s="1"/>
  <c r="AF4" i="3"/>
  <c r="AF5" i="3" s="1"/>
  <c r="AF6" i="3" s="1"/>
  <c r="AF7" i="3" s="1"/>
  <c r="AF8" i="3" s="1"/>
  <c r="AF11" i="3" s="1"/>
  <c r="AF12" i="3" s="1"/>
  <c r="AF28" i="3" s="1"/>
  <c r="AA4" i="3"/>
  <c r="AA5" i="3"/>
  <c r="AA3" i="3"/>
  <c r="AB3" i="3" s="1"/>
  <c r="S5" i="3"/>
  <c r="T5" i="3"/>
  <c r="U5" i="3"/>
  <c r="D4" i="1"/>
  <c r="S4" i="3"/>
  <c r="T4" i="3"/>
  <c r="U4" i="3"/>
  <c r="AS28" i="3"/>
  <c r="AS20" i="3"/>
  <c r="AS12" i="3"/>
  <c r="AT12" i="3" l="1"/>
  <c r="Y12" i="3" s="1"/>
  <c r="AT20" i="3"/>
  <c r="Y20" i="3" s="1"/>
  <c r="AT28" i="3"/>
  <c r="Y28" i="3" s="1"/>
  <c r="BE28" i="3"/>
  <c r="AZ28" i="3" s="1"/>
  <c r="AY28" i="3" s="1"/>
  <c r="AD3" i="3"/>
  <c r="AM3" i="3" s="1"/>
  <c r="AB4" i="3"/>
  <c r="AB5" i="3" s="1"/>
  <c r="AB6" i="3" s="1"/>
  <c r="AB7" i="3" s="1"/>
  <c r="AB8" i="3" s="1"/>
  <c r="AB11" i="3" s="1"/>
  <c r="AB12" i="3" s="1"/>
  <c r="AB28" i="3" s="1"/>
  <c r="V4" i="3"/>
  <c r="V5" i="3"/>
  <c r="U3" i="3"/>
  <c r="T3" i="3"/>
  <c r="S3" i="3"/>
  <c r="BA28" i="3" l="1"/>
  <c r="BD27" i="3"/>
  <c r="V3" i="3"/>
  <c r="W3" i="3" s="1"/>
  <c r="W4" i="3" s="1"/>
  <c r="W5" i="3" s="1"/>
  <c r="W6" i="3" s="1"/>
  <c r="W7" i="3" s="1"/>
  <c r="W8" i="3" s="1"/>
  <c r="W11" i="3" s="1"/>
  <c r="W12" i="3" s="1"/>
  <c r="W28" i="3" s="1"/>
  <c r="E3" i="3"/>
  <c r="BF27" i="3" l="1"/>
  <c r="BE27" i="3"/>
  <c r="AZ27" i="3" s="1"/>
  <c r="AY27" i="3" s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H27" i="1"/>
  <c r="H31" i="1"/>
  <c r="H35" i="1"/>
  <c r="H39" i="1"/>
  <c r="H43" i="1"/>
  <c r="H47" i="1"/>
  <c r="H51" i="1"/>
  <c r="H55" i="1"/>
  <c r="H59" i="1"/>
  <c r="H63" i="1"/>
  <c r="H67" i="1"/>
  <c r="H71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I27" i="1"/>
  <c r="I31" i="1"/>
  <c r="I35" i="1"/>
  <c r="I39" i="1"/>
  <c r="I43" i="1"/>
  <c r="I47" i="1"/>
  <c r="I51" i="1"/>
  <c r="I55" i="1"/>
  <c r="I59" i="1"/>
  <c r="I63" i="1"/>
  <c r="I67" i="1"/>
  <c r="I71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H28" i="1"/>
  <c r="H32" i="1"/>
  <c r="H36" i="1"/>
  <c r="H40" i="1"/>
  <c r="H44" i="1"/>
  <c r="H48" i="1"/>
  <c r="H52" i="1"/>
  <c r="H60" i="1"/>
  <c r="H64" i="1"/>
  <c r="H68" i="1"/>
  <c r="H72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I28" i="1"/>
  <c r="I32" i="1"/>
  <c r="I36" i="1"/>
  <c r="I40" i="1"/>
  <c r="I44" i="1"/>
  <c r="I48" i="1"/>
  <c r="I52" i="1"/>
  <c r="I60" i="1"/>
  <c r="I64" i="1"/>
  <c r="I68" i="1"/>
  <c r="I72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H25" i="1"/>
  <c r="H29" i="1"/>
  <c r="H33" i="1"/>
  <c r="H37" i="1"/>
  <c r="H41" i="1"/>
  <c r="H45" i="1"/>
  <c r="H49" i="1"/>
  <c r="H53" i="1"/>
  <c r="H57" i="1"/>
  <c r="H61" i="1"/>
  <c r="H65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I25" i="1"/>
  <c r="I29" i="1"/>
  <c r="I33" i="1"/>
  <c r="I37" i="1"/>
  <c r="I41" i="1"/>
  <c r="I45" i="1"/>
  <c r="I49" i="1"/>
  <c r="I53" i="1"/>
  <c r="I57" i="1"/>
  <c r="I61" i="1"/>
  <c r="I65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H26" i="1"/>
  <c r="H30" i="1"/>
  <c r="H34" i="1"/>
  <c r="H38" i="1"/>
  <c r="H42" i="1"/>
  <c r="H46" i="1"/>
  <c r="H50" i="1"/>
  <c r="H54" i="1"/>
  <c r="H58" i="1"/>
  <c r="H62" i="1"/>
  <c r="H66" i="1"/>
  <c r="H7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I26" i="1"/>
  <c r="I30" i="1"/>
  <c r="I34" i="1"/>
  <c r="I38" i="1"/>
  <c r="I42" i="1"/>
  <c r="I46" i="1"/>
  <c r="I50" i="1"/>
  <c r="I54" i="1"/>
  <c r="I58" i="1"/>
  <c r="I62" i="1"/>
  <c r="I66" i="1"/>
  <c r="I70" i="1"/>
  <c r="F7" i="1"/>
  <c r="F5" i="1"/>
  <c r="F8" i="1"/>
  <c r="F10" i="1"/>
  <c r="F9" i="1"/>
  <c r="F6" i="1"/>
  <c r="F4" i="1"/>
  <c r="D2" i="1"/>
  <c r="D3" i="1"/>
  <c r="F3" i="1" s="1"/>
  <c r="BA27" i="3" l="1"/>
  <c r="BD26" i="3"/>
  <c r="AN4" i="3"/>
  <c r="AQ4" i="3" s="1"/>
  <c r="AN5" i="3"/>
  <c r="AQ5" i="3" s="1"/>
  <c r="AN3" i="3"/>
  <c r="AQ3" i="3" s="1"/>
  <c r="F2" i="1"/>
  <c r="AU4" i="3"/>
  <c r="AU5" i="3"/>
  <c r="AU3" i="3"/>
  <c r="AS3" i="3"/>
  <c r="AS4" i="3"/>
  <c r="AS5" i="3"/>
  <c r="BF26" i="3" l="1"/>
  <c r="BE26" i="3"/>
  <c r="AT5" i="3"/>
  <c r="Y5" i="3" s="1"/>
  <c r="AT4" i="3"/>
  <c r="Y4" i="3" s="1"/>
  <c r="AT3" i="3"/>
  <c r="AV3" i="3"/>
  <c r="AW3" i="3"/>
  <c r="AZ26" i="3" l="1"/>
  <c r="I24" i="1"/>
  <c r="Y3" i="3"/>
  <c r="Z3" i="3" s="1"/>
  <c r="AY26" i="3" l="1"/>
  <c r="H24" i="1"/>
  <c r="X4" i="3" a="1"/>
  <c r="X4" i="3" s="1"/>
  <c r="AK4" i="3" s="1"/>
  <c r="AL4" i="3" s="1"/>
  <c r="BA26" i="3" l="1"/>
  <c r="BD25" i="3"/>
  <c r="Z4" i="3"/>
  <c r="AG4" i="3"/>
  <c r="AH4" i="3" s="1"/>
  <c r="X5" i="3" a="1"/>
  <c r="AC4" i="3"/>
  <c r="AD4" i="3" s="1"/>
  <c r="BF25" i="3" l="1"/>
  <c r="BE25" i="3"/>
  <c r="X5" i="3"/>
  <c r="AC5" i="3" s="1"/>
  <c r="AD5" i="3" s="1"/>
  <c r="AM4" i="3"/>
  <c r="AW4" i="3" s="1"/>
  <c r="AZ25" i="3" l="1"/>
  <c r="I23" i="1"/>
  <c r="Z5" i="3"/>
  <c r="AK5" i="3"/>
  <c r="AL5" i="3" s="1"/>
  <c r="AG5" i="3"/>
  <c r="AH5" i="3" s="1"/>
  <c r="AV4" i="3"/>
  <c r="AY25" i="3" l="1"/>
  <c r="H23" i="1"/>
  <c r="X6" i="3" a="1"/>
  <c r="X6" i="3" s="1"/>
  <c r="AM5" i="3"/>
  <c r="BA25" i="3" l="1"/>
  <c r="BD24" i="3"/>
  <c r="Z6" i="3"/>
  <c r="AC6" i="3"/>
  <c r="AD6" i="3" s="1"/>
  <c r="AK6" i="3"/>
  <c r="AL6" i="3" s="1"/>
  <c r="AG6" i="3"/>
  <c r="AH6" i="3" s="1"/>
  <c r="AV5" i="3"/>
  <c r="AW5" i="3"/>
  <c r="BF24" i="3" l="1"/>
  <c r="BE24" i="3"/>
  <c r="X7" i="3" a="1"/>
  <c r="X7" i="3"/>
  <c r="AM6" i="3"/>
  <c r="AV6" i="3" s="1"/>
  <c r="AZ24" i="3" l="1"/>
  <c r="I20" i="1"/>
  <c r="AW6" i="3"/>
  <c r="AK7" i="3"/>
  <c r="AL7" i="3" s="1"/>
  <c r="AC7" i="3"/>
  <c r="AD7" i="3" s="1"/>
  <c r="AG7" i="3"/>
  <c r="AH7" i="3" s="1"/>
  <c r="Z7" i="3"/>
  <c r="AY24" i="3" l="1"/>
  <c r="H20" i="1"/>
  <c r="X8" i="3" a="1"/>
  <c r="X8" i="3" s="1"/>
  <c r="AM7" i="3"/>
  <c r="I7" i="1"/>
  <c r="BA24" i="3" l="1"/>
  <c r="BD23" i="3"/>
  <c r="AG8" i="3"/>
  <c r="AH8" i="3" s="1"/>
  <c r="Z8" i="3"/>
  <c r="AC8" i="3"/>
  <c r="AD8" i="3" s="1"/>
  <c r="AK8" i="3"/>
  <c r="AL8" i="3" s="1"/>
  <c r="AW7" i="3"/>
  <c r="AV7" i="3"/>
  <c r="H7" i="1"/>
  <c r="BF23" i="3" l="1"/>
  <c r="BE23" i="3"/>
  <c r="X9" i="3" a="1"/>
  <c r="AM8" i="3"/>
  <c r="X9" i="3"/>
  <c r="AZ23" i="3" l="1"/>
  <c r="I19" i="1"/>
  <c r="AK9" i="3"/>
  <c r="AL9" i="3" s="1"/>
  <c r="AC9" i="3"/>
  <c r="AD9" i="3" s="1"/>
  <c r="AG9" i="3"/>
  <c r="AH9" i="3" s="1"/>
  <c r="Z9" i="3"/>
  <c r="AW8" i="3"/>
  <c r="AV8" i="3"/>
  <c r="I103" i="1"/>
  <c r="I75" i="1"/>
  <c r="I107" i="1"/>
  <c r="I92" i="1"/>
  <c r="I124" i="1"/>
  <c r="I156" i="1"/>
  <c r="I73" i="1"/>
  <c r="I105" i="1"/>
  <c r="I137" i="1"/>
  <c r="I169" i="1"/>
  <c r="I201" i="1"/>
  <c r="I82" i="1"/>
  <c r="I114" i="1"/>
  <c r="I146" i="1"/>
  <c r="I178" i="1"/>
  <c r="I237" i="1"/>
  <c r="I228" i="1"/>
  <c r="I163" i="1"/>
  <c r="I225" i="1"/>
  <c r="I236" i="1"/>
  <c r="I206" i="1"/>
  <c r="I243" i="1"/>
  <c r="I219" i="1"/>
  <c r="I96" i="1"/>
  <c r="I128" i="1"/>
  <c r="I160" i="1"/>
  <c r="I77" i="1"/>
  <c r="I109" i="1"/>
  <c r="I141" i="1"/>
  <c r="I173" i="1"/>
  <c r="I205" i="1"/>
  <c r="I118" i="1"/>
  <c r="I203" i="1"/>
  <c r="I230" i="1"/>
  <c r="I126" i="1"/>
  <c r="I249" i="1"/>
  <c r="I238" i="1"/>
  <c r="I222" i="1"/>
  <c r="I76" i="1"/>
  <c r="I185" i="1"/>
  <c r="I162" i="1"/>
  <c r="I229" i="1"/>
  <c r="I226" i="1"/>
  <c r="I79" i="1"/>
  <c r="I111" i="1"/>
  <c r="I83" i="1"/>
  <c r="I115" i="1"/>
  <c r="I100" i="1"/>
  <c r="I132" i="1"/>
  <c r="I164" i="1"/>
  <c r="I81" i="1"/>
  <c r="I113" i="1"/>
  <c r="I145" i="1"/>
  <c r="I177" i="1"/>
  <c r="I209" i="1"/>
  <c r="I90" i="1"/>
  <c r="I122" i="1"/>
  <c r="I154" i="1"/>
  <c r="I186" i="1"/>
  <c r="I210" i="1"/>
  <c r="I245" i="1"/>
  <c r="I135" i="1"/>
  <c r="I220" i="1"/>
  <c r="I208" i="1"/>
  <c r="I192" i="1"/>
  <c r="I234" i="1"/>
  <c r="I217" i="1"/>
  <c r="I171" i="1"/>
  <c r="I151" i="1"/>
  <c r="I202" i="1"/>
  <c r="I104" i="1"/>
  <c r="I136" i="1"/>
  <c r="I168" i="1"/>
  <c r="I85" i="1"/>
  <c r="I117" i="1"/>
  <c r="I149" i="1"/>
  <c r="I181" i="1"/>
  <c r="I213" i="1"/>
  <c r="I190" i="1"/>
  <c r="I143" i="1"/>
  <c r="I214" i="1"/>
  <c r="I140" i="1"/>
  <c r="I121" i="1"/>
  <c r="I98" i="1"/>
  <c r="I87" i="1"/>
  <c r="I119" i="1"/>
  <c r="I91" i="1"/>
  <c r="I123" i="1"/>
  <c r="I172" i="1"/>
  <c r="I153" i="1"/>
  <c r="I130" i="1"/>
  <c r="I95" i="1"/>
  <c r="I127" i="1"/>
  <c r="I80" i="1"/>
  <c r="I112" i="1"/>
  <c r="I144" i="1"/>
  <c r="I176" i="1"/>
  <c r="I93" i="1"/>
  <c r="I125" i="1"/>
  <c r="I157" i="1"/>
  <c r="I189" i="1"/>
  <c r="I102" i="1"/>
  <c r="I134" i="1"/>
  <c r="I166" i="1"/>
  <c r="I159" i="1"/>
  <c r="I224" i="1"/>
  <c r="I240" i="1"/>
  <c r="I191" i="1"/>
  <c r="I211" i="1"/>
  <c r="I246" i="1"/>
  <c r="I183" i="1"/>
  <c r="I231" i="1"/>
  <c r="I248" i="1"/>
  <c r="I120" i="1"/>
  <c r="I184" i="1"/>
  <c r="I101" i="1"/>
  <c r="I165" i="1"/>
  <c r="I78" i="1"/>
  <c r="I142" i="1"/>
  <c r="I199" i="1"/>
  <c r="I200" i="1"/>
  <c r="I150" i="1"/>
  <c r="I241" i="1"/>
  <c r="I188" i="1"/>
  <c r="I212" i="1"/>
  <c r="I218" i="1"/>
  <c r="I158" i="1"/>
  <c r="I147" i="1"/>
  <c r="I227" i="1"/>
  <c r="I131" i="1"/>
  <c r="I196" i="1"/>
  <c r="I99" i="1"/>
  <c r="I84" i="1"/>
  <c r="I116" i="1"/>
  <c r="I148" i="1"/>
  <c r="I180" i="1"/>
  <c r="I97" i="1"/>
  <c r="I129" i="1"/>
  <c r="I161" i="1"/>
  <c r="I193" i="1"/>
  <c r="I74" i="1"/>
  <c r="I106" i="1"/>
  <c r="I138" i="1"/>
  <c r="I170" i="1"/>
  <c r="I175" i="1"/>
  <c r="I198" i="1"/>
  <c r="I216" i="1"/>
  <c r="I250" i="1"/>
  <c r="I194" i="1"/>
  <c r="I235" i="1"/>
  <c r="I88" i="1"/>
  <c r="I152" i="1"/>
  <c r="I133" i="1"/>
  <c r="I197" i="1"/>
  <c r="I110" i="1"/>
  <c r="I174" i="1"/>
  <c r="I233" i="1"/>
  <c r="I204" i="1"/>
  <c r="I139" i="1"/>
  <c r="I187" i="1"/>
  <c r="I239" i="1"/>
  <c r="I207" i="1"/>
  <c r="I86" i="1"/>
  <c r="I182" i="1"/>
  <c r="I179" i="1"/>
  <c r="I247" i="1"/>
  <c r="I155" i="1"/>
  <c r="I94" i="1"/>
  <c r="I215" i="1"/>
  <c r="I232" i="1"/>
  <c r="I221" i="1"/>
  <c r="I108" i="1"/>
  <c r="I89" i="1"/>
  <c r="I195" i="1"/>
  <c r="I242" i="1"/>
  <c r="I244" i="1"/>
  <c r="I167" i="1"/>
  <c r="I223" i="1"/>
  <c r="AY23" i="3" l="1"/>
  <c r="H19" i="1"/>
  <c r="X10" i="3" a="1"/>
  <c r="X10" i="3"/>
  <c r="AM9" i="3"/>
  <c r="H83" i="1"/>
  <c r="H115" i="1"/>
  <c r="H147" i="1"/>
  <c r="H87" i="1"/>
  <c r="H119" i="1"/>
  <c r="H151" i="1"/>
  <c r="H92" i="1"/>
  <c r="H124" i="1"/>
  <c r="H156" i="1"/>
  <c r="H188" i="1"/>
  <c r="H85" i="1"/>
  <c r="H117" i="1"/>
  <c r="H149" i="1"/>
  <c r="H181" i="1"/>
  <c r="H102" i="1"/>
  <c r="H134" i="1"/>
  <c r="H166" i="1"/>
  <c r="H198" i="1"/>
  <c r="H230" i="1"/>
  <c r="H197" i="1"/>
  <c r="H211" i="1"/>
  <c r="H246" i="1"/>
  <c r="H243" i="1"/>
  <c r="H207" i="1"/>
  <c r="H213" i="1"/>
  <c r="H248" i="1"/>
  <c r="H96" i="1"/>
  <c r="H128" i="1"/>
  <c r="H160" i="1"/>
  <c r="H192" i="1"/>
  <c r="H89" i="1"/>
  <c r="H121" i="1"/>
  <c r="H153" i="1"/>
  <c r="H185" i="1"/>
  <c r="H106" i="1"/>
  <c r="H202" i="1"/>
  <c r="H216" i="1"/>
  <c r="H247" i="1"/>
  <c r="H237" i="1"/>
  <c r="H219" i="1"/>
  <c r="H108" i="1"/>
  <c r="H182" i="1"/>
  <c r="H91" i="1"/>
  <c r="H123" i="1"/>
  <c r="H155" i="1"/>
  <c r="H95" i="1"/>
  <c r="H127" i="1"/>
  <c r="H100" i="1"/>
  <c r="H132" i="1"/>
  <c r="H164" i="1"/>
  <c r="H196" i="1"/>
  <c r="H93" i="1"/>
  <c r="H125" i="1"/>
  <c r="H157" i="1"/>
  <c r="H189" i="1"/>
  <c r="H78" i="1"/>
  <c r="H110" i="1"/>
  <c r="H142" i="1"/>
  <c r="H174" i="1"/>
  <c r="H206" i="1"/>
  <c r="H233" i="1"/>
  <c r="H217" i="1"/>
  <c r="H228" i="1"/>
  <c r="H223" i="1"/>
  <c r="H104" i="1"/>
  <c r="H136" i="1"/>
  <c r="H168" i="1"/>
  <c r="H200" i="1"/>
  <c r="H97" i="1"/>
  <c r="H129" i="1"/>
  <c r="H161" i="1"/>
  <c r="H82" i="1"/>
  <c r="H114" i="1"/>
  <c r="H146" i="1"/>
  <c r="H178" i="1"/>
  <c r="H210" i="1"/>
  <c r="H225" i="1"/>
  <c r="H76" i="1"/>
  <c r="H204" i="1"/>
  <c r="H133" i="1"/>
  <c r="H118" i="1"/>
  <c r="H220" i="1"/>
  <c r="H205" i="1"/>
  <c r="H99" i="1"/>
  <c r="H131" i="1"/>
  <c r="H103" i="1"/>
  <c r="H135" i="1"/>
  <c r="H150" i="1"/>
  <c r="H179" i="1"/>
  <c r="H167" i="1"/>
  <c r="H75" i="1"/>
  <c r="H107" i="1"/>
  <c r="H139" i="1"/>
  <c r="H80" i="1"/>
  <c r="H112" i="1"/>
  <c r="H144" i="1"/>
  <c r="H176" i="1"/>
  <c r="H208" i="1"/>
  <c r="H73" i="1"/>
  <c r="H105" i="1"/>
  <c r="H137" i="1"/>
  <c r="H169" i="1"/>
  <c r="H90" i="1"/>
  <c r="H122" i="1"/>
  <c r="H154" i="1"/>
  <c r="H186" i="1"/>
  <c r="H218" i="1"/>
  <c r="H234" i="1"/>
  <c r="H224" i="1"/>
  <c r="H183" i="1"/>
  <c r="H231" i="1"/>
  <c r="H195" i="1"/>
  <c r="H236" i="1"/>
  <c r="H203" i="1"/>
  <c r="H120" i="1"/>
  <c r="H184" i="1"/>
  <c r="H81" i="1"/>
  <c r="H145" i="1"/>
  <c r="H98" i="1"/>
  <c r="H162" i="1"/>
  <c r="H226" i="1"/>
  <c r="H191" i="1"/>
  <c r="H215" i="1"/>
  <c r="H242" i="1"/>
  <c r="H221" i="1"/>
  <c r="H209" i="1"/>
  <c r="H244" i="1"/>
  <c r="H74" i="1"/>
  <c r="H170" i="1"/>
  <c r="H250" i="1"/>
  <c r="H163" i="1"/>
  <c r="H199" i="1"/>
  <c r="H140" i="1"/>
  <c r="H165" i="1"/>
  <c r="H214" i="1"/>
  <c r="H79" i="1"/>
  <c r="H111" i="1"/>
  <c r="H143" i="1"/>
  <c r="H84" i="1"/>
  <c r="H116" i="1"/>
  <c r="H148" i="1"/>
  <c r="H180" i="1"/>
  <c r="H77" i="1"/>
  <c r="H109" i="1"/>
  <c r="H141" i="1"/>
  <c r="H173" i="1"/>
  <c r="H94" i="1"/>
  <c r="H126" i="1"/>
  <c r="H158" i="1"/>
  <c r="H190" i="1"/>
  <c r="H222" i="1"/>
  <c r="H229" i="1"/>
  <c r="H175" i="1"/>
  <c r="H238" i="1"/>
  <c r="H241" i="1"/>
  <c r="H193" i="1"/>
  <c r="H235" i="1"/>
  <c r="H159" i="1"/>
  <c r="H201" i="1"/>
  <c r="H240" i="1"/>
  <c r="H245" i="1"/>
  <c r="H88" i="1"/>
  <c r="H152" i="1"/>
  <c r="H113" i="1"/>
  <c r="H177" i="1"/>
  <c r="H130" i="1"/>
  <c r="H194" i="1"/>
  <c r="H239" i="1"/>
  <c r="H138" i="1"/>
  <c r="H249" i="1"/>
  <c r="H212" i="1"/>
  <c r="H171" i="1"/>
  <c r="H172" i="1"/>
  <c r="H101" i="1"/>
  <c r="H86" i="1"/>
  <c r="H232" i="1"/>
  <c r="H227" i="1"/>
  <c r="H187" i="1"/>
  <c r="BA23" i="3" l="1"/>
  <c r="BD22" i="3"/>
  <c r="AV9" i="3"/>
  <c r="AW9" i="3"/>
  <c r="AC10" i="3"/>
  <c r="AD10" i="3" s="1"/>
  <c r="AG10" i="3"/>
  <c r="AH10" i="3" s="1"/>
  <c r="Z10" i="3"/>
  <c r="AK10" i="3"/>
  <c r="AL10" i="3" s="1"/>
  <c r="BF22" i="3" l="1"/>
  <c r="BE22" i="3"/>
  <c r="X11" i="3" a="1"/>
  <c r="X11" i="3" s="1"/>
  <c r="AM10" i="3"/>
  <c r="AW10" i="3" s="1"/>
  <c r="AZ22" i="3" l="1"/>
  <c r="I22" i="1"/>
  <c r="AV10" i="3"/>
  <c r="Z11" i="3"/>
  <c r="AG11" i="3"/>
  <c r="AH11" i="3" s="1"/>
  <c r="AK11" i="3"/>
  <c r="AL11" i="3" s="1"/>
  <c r="AC11" i="3"/>
  <c r="AD11" i="3" s="1"/>
  <c r="AY22" i="3" l="1"/>
  <c r="H22" i="1"/>
  <c r="X12" i="3" a="1"/>
  <c r="X12" i="3" s="1"/>
  <c r="AM11" i="3"/>
  <c r="BA22" i="3" l="1"/>
  <c r="BD21" i="3"/>
  <c r="Z12" i="3"/>
  <c r="AG12" i="3"/>
  <c r="AH12" i="3" s="1"/>
  <c r="AK12" i="3"/>
  <c r="AL12" i="3" s="1"/>
  <c r="AC12" i="3"/>
  <c r="AD12" i="3" s="1"/>
  <c r="AW11" i="3"/>
  <c r="AV11" i="3"/>
  <c r="BF21" i="3" l="1"/>
  <c r="BE21" i="3"/>
  <c r="AM12" i="3"/>
  <c r="AV12" i="3" s="1"/>
  <c r="X13" i="3" a="1"/>
  <c r="X13" i="3" s="1"/>
  <c r="AZ21" i="3" l="1"/>
  <c r="I21" i="1"/>
  <c r="AW12" i="3"/>
  <c r="AK13" i="3"/>
  <c r="AL13" i="3" s="1"/>
  <c r="Z13" i="3"/>
  <c r="AC13" i="3"/>
  <c r="AD13" i="3" s="1"/>
  <c r="AG13" i="3"/>
  <c r="AH13" i="3" s="1"/>
  <c r="AY21" i="3" l="1"/>
  <c r="H21" i="1"/>
  <c r="AM13" i="3"/>
  <c r="AW13" i="3" s="1"/>
  <c r="X14" i="3" a="1"/>
  <c r="X14" i="3" s="1"/>
  <c r="BA21" i="3" l="1"/>
  <c r="BD20" i="3"/>
  <c r="AV13" i="3"/>
  <c r="AC14" i="3"/>
  <c r="AD14" i="3" s="1"/>
  <c r="AG14" i="3"/>
  <c r="AH14" i="3" s="1"/>
  <c r="AK14" i="3"/>
  <c r="AL14" i="3" s="1"/>
  <c r="Z14" i="3"/>
  <c r="BF20" i="3" l="1"/>
  <c r="BE20" i="3"/>
  <c r="X15" i="3" a="1"/>
  <c r="X15" i="3" s="1"/>
  <c r="AM14" i="3"/>
  <c r="AZ20" i="3" l="1"/>
  <c r="I56" i="1"/>
  <c r="AC15" i="3"/>
  <c r="AD15" i="3" s="1"/>
  <c r="Z15" i="3"/>
  <c r="AG15" i="3"/>
  <c r="AH15" i="3" s="1"/>
  <c r="AK15" i="3"/>
  <c r="AL15" i="3" s="1"/>
  <c r="AV14" i="3"/>
  <c r="AW14" i="3"/>
  <c r="AY20" i="3" l="1"/>
  <c r="H56" i="1"/>
  <c r="AM15" i="3"/>
  <c r="AW15" i="3" s="1"/>
  <c r="X16" i="3" a="1"/>
  <c r="X16" i="3" s="1"/>
  <c r="BA20" i="3" l="1"/>
  <c r="BD19" i="3"/>
  <c r="AV15" i="3"/>
  <c r="Z16" i="3"/>
  <c r="AC16" i="3"/>
  <c r="AD16" i="3" s="1"/>
  <c r="AG16" i="3"/>
  <c r="AH16" i="3" s="1"/>
  <c r="AK16" i="3"/>
  <c r="AL16" i="3" s="1"/>
  <c r="BF19" i="3" l="1"/>
  <c r="BE19" i="3"/>
  <c r="AM16" i="3"/>
  <c r="AW16" i="3" s="1"/>
  <c r="X17" i="3" a="1"/>
  <c r="X17" i="3" s="1"/>
  <c r="AZ19" i="3" l="1"/>
  <c r="I18" i="1"/>
  <c r="AV16" i="3"/>
  <c r="AC17" i="3"/>
  <c r="AD17" i="3" s="1"/>
  <c r="AK17" i="3"/>
  <c r="AL17" i="3" s="1"/>
  <c r="AG17" i="3"/>
  <c r="AH17" i="3" s="1"/>
  <c r="Z17" i="3"/>
  <c r="AY19" i="3" l="1"/>
  <c r="H18" i="1"/>
  <c r="X18" i="3" a="1"/>
  <c r="X18" i="3" s="1"/>
  <c r="AM17" i="3"/>
  <c r="BA19" i="3" l="1"/>
  <c r="BD18" i="3"/>
  <c r="AG18" i="3"/>
  <c r="AH18" i="3" s="1"/>
  <c r="Z18" i="3"/>
  <c r="AC18" i="3"/>
  <c r="AD18" i="3" s="1"/>
  <c r="AK18" i="3"/>
  <c r="AL18" i="3" s="1"/>
  <c r="AW17" i="3"/>
  <c r="AV17" i="3"/>
  <c r="BF18" i="3" l="1"/>
  <c r="BE18" i="3"/>
  <c r="AM18" i="3"/>
  <c r="X19" i="3" a="1"/>
  <c r="X19" i="3" s="1"/>
  <c r="AZ18" i="3" l="1"/>
  <c r="I17" i="1"/>
  <c r="Z19" i="3"/>
  <c r="AC19" i="3"/>
  <c r="AD19" i="3" s="1"/>
  <c r="AG19" i="3"/>
  <c r="AH19" i="3" s="1"/>
  <c r="AK19" i="3"/>
  <c r="AL19" i="3" s="1"/>
  <c r="AW18" i="3"/>
  <c r="AV18" i="3"/>
  <c r="AY18" i="3" l="1"/>
  <c r="H17" i="1"/>
  <c r="AM19" i="3"/>
  <c r="AV19" i="3" s="1"/>
  <c r="X20" i="3" a="1"/>
  <c r="X20" i="3" s="1"/>
  <c r="BA18" i="3" l="1"/>
  <c r="BD17" i="3"/>
  <c r="AW19" i="3"/>
  <c r="Z20" i="3"/>
  <c r="AG20" i="3"/>
  <c r="AH20" i="3" s="1"/>
  <c r="AC20" i="3"/>
  <c r="AD20" i="3" s="1"/>
  <c r="AK20" i="3"/>
  <c r="AL20" i="3" s="1"/>
  <c r="BF17" i="3" l="1"/>
  <c r="BE17" i="3"/>
  <c r="AM20" i="3"/>
  <c r="AV20" i="3" s="1"/>
  <c r="X21" i="3" a="1"/>
  <c r="X21" i="3" s="1"/>
  <c r="AZ17" i="3" l="1"/>
  <c r="I16" i="1"/>
  <c r="AW20" i="3"/>
  <c r="AC21" i="3"/>
  <c r="AD21" i="3" s="1"/>
  <c r="AK21" i="3"/>
  <c r="AL21" i="3" s="1"/>
  <c r="Z21" i="3"/>
  <c r="AG21" i="3"/>
  <c r="AH21" i="3" s="1"/>
  <c r="AY17" i="3" l="1"/>
  <c r="H16" i="1"/>
  <c r="AM21" i="3"/>
  <c r="AW21" i="3" s="1"/>
  <c r="X22" i="3" a="1"/>
  <c r="X22" i="3" s="1"/>
  <c r="BA17" i="3" l="1"/>
  <c r="BD16" i="3"/>
  <c r="AV21" i="3"/>
  <c r="AC22" i="3"/>
  <c r="AD22" i="3" s="1"/>
  <c r="AK22" i="3"/>
  <c r="AL22" i="3" s="1"/>
  <c r="Z22" i="3"/>
  <c r="AG22" i="3"/>
  <c r="AH22" i="3" s="1"/>
  <c r="BF16" i="3" l="1"/>
  <c r="BE16" i="3"/>
  <c r="X23" i="3" a="1"/>
  <c r="X23" i="3" s="1"/>
  <c r="AM22" i="3"/>
  <c r="AZ16" i="3" l="1"/>
  <c r="I15" i="1"/>
  <c r="Z23" i="3"/>
  <c r="AK23" i="3"/>
  <c r="AL23" i="3" s="1"/>
  <c r="AG23" i="3"/>
  <c r="AH23" i="3" s="1"/>
  <c r="AC23" i="3"/>
  <c r="AD23" i="3" s="1"/>
  <c r="AV22" i="3"/>
  <c r="AW22" i="3"/>
  <c r="AY16" i="3" l="1"/>
  <c r="H15" i="1"/>
  <c r="AM23" i="3"/>
  <c r="AW23" i="3" s="1"/>
  <c r="X24" i="3" a="1"/>
  <c r="X24" i="3" s="1"/>
  <c r="BA16" i="3" l="1"/>
  <c r="BD15" i="3"/>
  <c r="AV23" i="3"/>
  <c r="AG24" i="3"/>
  <c r="AH24" i="3" s="1"/>
  <c r="AC24" i="3"/>
  <c r="AD24" i="3" s="1"/>
  <c r="AK24" i="3"/>
  <c r="AL24" i="3" s="1"/>
  <c r="Z24" i="3"/>
  <c r="BF15" i="3" l="1"/>
  <c r="BE15" i="3"/>
  <c r="X25" i="3" a="1"/>
  <c r="X25" i="3" s="1"/>
  <c r="AM24" i="3"/>
  <c r="AZ15" i="3" l="1"/>
  <c r="I14" i="1"/>
  <c r="Z25" i="3"/>
  <c r="AK25" i="3"/>
  <c r="AL25" i="3" s="1"/>
  <c r="AG25" i="3"/>
  <c r="AH25" i="3" s="1"/>
  <c r="AC25" i="3"/>
  <c r="AD25" i="3" s="1"/>
  <c r="AV24" i="3"/>
  <c r="AW24" i="3"/>
  <c r="AY15" i="3" l="1"/>
  <c r="H14" i="1"/>
  <c r="AM25" i="3"/>
  <c r="X26" i="3" a="1"/>
  <c r="X26" i="3" s="1"/>
  <c r="BA15" i="3" l="1"/>
  <c r="BD14" i="3"/>
  <c r="AK26" i="3"/>
  <c r="AL26" i="3" s="1"/>
  <c r="AG26" i="3"/>
  <c r="AH26" i="3" s="1"/>
  <c r="Z26" i="3"/>
  <c r="AC26" i="3"/>
  <c r="AD26" i="3" s="1"/>
  <c r="AW25" i="3"/>
  <c r="AV25" i="3"/>
  <c r="BF14" i="3" l="1"/>
  <c r="BE14" i="3"/>
  <c r="X27" i="3" a="1"/>
  <c r="X27" i="3" s="1"/>
  <c r="AM26" i="3"/>
  <c r="AZ14" i="3" l="1"/>
  <c r="I13" i="1"/>
  <c r="AG27" i="3"/>
  <c r="AH27" i="3" s="1"/>
  <c r="Z27" i="3"/>
  <c r="AC27" i="3"/>
  <c r="AD27" i="3" s="1"/>
  <c r="AK27" i="3"/>
  <c r="AL27" i="3" s="1"/>
  <c r="AW26" i="3"/>
  <c r="AV26" i="3"/>
  <c r="AY14" i="3" l="1"/>
  <c r="H13" i="1"/>
  <c r="AM27" i="3"/>
  <c r="AW27" i="3" s="1"/>
  <c r="X28" i="3" a="1"/>
  <c r="X28" i="3" s="1"/>
  <c r="BA14" i="3" l="1"/>
  <c r="BD13" i="3"/>
  <c r="AV27" i="3"/>
  <c r="AC28" i="3"/>
  <c r="AD28" i="3" s="1"/>
  <c r="AK28" i="3"/>
  <c r="AL28" i="3" s="1"/>
  <c r="AG28" i="3"/>
  <c r="AH28" i="3" s="1"/>
  <c r="Z28" i="3"/>
  <c r="BF13" i="3" l="1"/>
  <c r="BE13" i="3"/>
  <c r="AM28" i="3"/>
  <c r="AZ13" i="3" l="1"/>
  <c r="I12" i="1"/>
  <c r="AW28" i="3"/>
  <c r="AV28" i="3"/>
  <c r="AY13" i="3" l="1"/>
  <c r="H12" i="1"/>
  <c r="BA13" i="3" l="1"/>
  <c r="BD12" i="3"/>
  <c r="BF12" i="3" l="1"/>
  <c r="BE12" i="3"/>
  <c r="AZ12" i="3" l="1"/>
  <c r="I69" i="1"/>
  <c r="AY12" i="3" l="1"/>
  <c r="H69" i="1"/>
  <c r="BA12" i="3" l="1"/>
  <c r="BD11" i="3"/>
  <c r="BF11" i="3" l="1"/>
  <c r="BE11" i="3"/>
  <c r="AZ11" i="3" l="1"/>
  <c r="I11" i="1"/>
  <c r="AY11" i="3" l="1"/>
  <c r="H11" i="1"/>
  <c r="BA11" i="3" l="1"/>
  <c r="BD10" i="3"/>
  <c r="BF10" i="3" l="1"/>
  <c r="BE10" i="3"/>
  <c r="AZ10" i="3" l="1"/>
  <c r="I10" i="1"/>
  <c r="AY10" i="3" l="1"/>
  <c r="H10" i="1"/>
  <c r="BA10" i="3" l="1"/>
  <c r="BD9" i="3"/>
  <c r="BF9" i="3" l="1"/>
  <c r="BE9" i="3"/>
  <c r="AZ9" i="3" l="1"/>
  <c r="I9" i="1"/>
  <c r="AY9" i="3" l="1"/>
  <c r="H9" i="1"/>
  <c r="BA9" i="3" l="1"/>
  <c r="BD8" i="3"/>
  <c r="BF8" i="3" l="1"/>
  <c r="BE8" i="3"/>
  <c r="AZ8" i="3" l="1"/>
  <c r="I8" i="1"/>
  <c r="AY8" i="3" l="1"/>
  <c r="H8" i="1"/>
  <c r="BA8" i="3" l="1"/>
  <c r="BD7" i="3"/>
  <c r="BF7" i="3" l="1"/>
  <c r="BE7" i="3"/>
  <c r="AZ7" i="3" l="1"/>
  <c r="I4" i="1"/>
  <c r="AY7" i="3" l="1"/>
  <c r="H4" i="1"/>
  <c r="BA7" i="3" l="1"/>
  <c r="BD6" i="3"/>
  <c r="BF6" i="3" l="1"/>
  <c r="BE6" i="3"/>
  <c r="AZ6" i="3" l="1"/>
  <c r="I3" i="1"/>
  <c r="AY6" i="3" l="1"/>
  <c r="H3" i="1"/>
  <c r="BA6" i="3" l="1"/>
  <c r="BD5" i="3"/>
  <c r="BF5" i="3" l="1"/>
  <c r="BE5" i="3"/>
  <c r="AZ5" i="3" l="1"/>
  <c r="I2" i="1"/>
  <c r="AY5" i="3" l="1"/>
  <c r="H2" i="1"/>
  <c r="BD4" i="3" l="1"/>
  <c r="BA5" i="3"/>
  <c r="BE4" i="3" l="1"/>
  <c r="BF4" i="3"/>
  <c r="I6" i="1" l="1"/>
  <c r="AZ4" i="3"/>
  <c r="H6" i="1" l="1"/>
  <c r="AY4" i="3"/>
  <c r="BD3" i="3" l="1"/>
  <c r="BA4" i="3"/>
  <c r="BF3" i="3" l="1"/>
  <c r="BE3" i="3"/>
  <c r="I5" i="1" l="1"/>
  <c r="AZ3" i="3"/>
  <c r="H5" i="1" l="1"/>
  <c r="AY3" i="3"/>
  <c r="BA3" i="3" s="1"/>
</calcChain>
</file>

<file path=xl/sharedStrings.xml><?xml version="1.0" encoding="utf-8"?>
<sst xmlns="http://schemas.openxmlformats.org/spreadsheetml/2006/main" count="176" uniqueCount="94">
  <si>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</si>
  <si>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</si>
  <si>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</si>
  <si>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</si>
  <si>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</si>
  <si>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</si>
  <si>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</si>
  <si>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</si>
  <si>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</si>
  <si>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</si>
  <si>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</si>
  <si>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</si>
  <si>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</si>
  <si>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</si>
  <si>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</si>
  <si>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</si>
  <si>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</si>
  <si>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</si>
  <si>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</si>
  <si>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</si>
  <si>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</si>
  <si>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</si>
  <si>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</si>
  <si>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</si>
  <si>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</si>
  <si>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</si>
  <si>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</si>
  <si>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</si>
  <si>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</si>
  <si>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</si>
  <si>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</si>
  <si>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</si>
  <si>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</si>
  <si>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</si>
  <si>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</si>
  <si>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</si>
  <si>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</si>
  <si>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</si>
  <si>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</si>
  <si>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</si>
  <si>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</si>
  <si>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</si>
  <si>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</si>
  <si>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</si>
  <si>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Q Full
(L/s)</t>
  </si>
  <si>
    <t>Cum. Total Area
(ha)</t>
  </si>
  <si>
    <t>Total Area
(ha)</t>
  </si>
  <si>
    <t>In Pipe Flow Time
(min)</t>
  </si>
  <si>
    <t>Total Time</t>
  </si>
  <si>
    <t>Street Name</t>
  </si>
  <si>
    <t>EX.510</t>
  </si>
  <si>
    <t>null</t>
  </si>
  <si>
    <t>EX.509</t>
  </si>
  <si>
    <t>122B</t>
  </si>
  <si>
    <t>Structure - (205)</t>
  </si>
  <si>
    <t>130A</t>
  </si>
  <si>
    <t>EX. 508</t>
  </si>
  <si>
    <t>99A</t>
  </si>
  <si>
    <t>EX. 200</t>
  </si>
  <si>
    <t>EX. 104</t>
  </si>
  <si>
    <t>EX 201</t>
  </si>
  <si>
    <t>OUTLET</t>
  </si>
  <si>
    <t>P1</t>
  </si>
  <si>
    <t>192</t>
  </si>
  <si>
    <t>191</t>
  </si>
  <si>
    <t>Ex.508</t>
  </si>
  <si>
    <t>EX.508</t>
  </si>
  <si>
    <t>Paine</t>
  </si>
  <si>
    <t>193</t>
  </si>
  <si>
    <t>194</t>
  </si>
  <si>
    <t>Ex.510</t>
  </si>
  <si>
    <t>180</t>
  </si>
  <si>
    <t>Coco</t>
  </si>
  <si>
    <t>127</t>
  </si>
  <si>
    <t>128</t>
  </si>
  <si>
    <t>122</t>
  </si>
  <si>
    <t>123</t>
  </si>
  <si>
    <t>Winterset</t>
  </si>
  <si>
    <t>124</t>
  </si>
  <si>
    <t>Calvinton</t>
  </si>
  <si>
    <t>162</t>
  </si>
  <si>
    <t>160</t>
  </si>
  <si>
    <t>118</t>
  </si>
  <si>
    <t>116</t>
  </si>
  <si>
    <t>119</t>
  </si>
  <si>
    <t>120</t>
  </si>
  <si>
    <t>121</t>
  </si>
  <si>
    <t>Parabolica</t>
  </si>
  <si>
    <t>172</t>
  </si>
  <si>
    <t>161</t>
  </si>
  <si>
    <t>173</t>
  </si>
  <si>
    <t>Basalt</t>
  </si>
  <si>
    <t>171</t>
  </si>
  <si>
    <t>outlet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</si>
</sst>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29"/>
  <sheetViews>
    <sheetView showGridLines="0" tabSelected="1" topLeftCell="G1" workbookViewId="0">
      <pane xSplit="3" ySplit="2" topLeftCell="J3" activePane="bottomRight" state="frozen"/>
      <selection activeCell="G1" sqref="G1"/>
      <selection pane="topRight" activeCell="J1" sqref="J1"/>
      <selection pane="bottomLeft" activeCell="G3" sqref="G3"/>
      <selection pane="bottomRight" activeCell="K42" sqref="K42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8.7109375" style="3" customWidth="1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49" t="s">
        <v>49</v>
      </c>
      <c r="H1" s="51" t="s">
        <v>15</v>
      </c>
      <c r="I1" s="52"/>
      <c r="J1" s="56" t="s">
        <v>8</v>
      </c>
      <c r="K1" s="51"/>
      <c r="L1" s="52"/>
      <c r="M1" s="56" t="s">
        <v>9</v>
      </c>
      <c r="N1" s="51"/>
      <c r="O1" s="52"/>
      <c r="P1" s="56" t="s">
        <v>10</v>
      </c>
      <c r="Q1" s="51"/>
      <c r="R1" s="52"/>
      <c r="S1" s="56" t="s">
        <v>11</v>
      </c>
      <c r="T1" s="51"/>
      <c r="U1" s="52"/>
      <c r="V1" s="57" t="s">
        <v>46</v>
      </c>
      <c r="W1" s="53" t="s">
        <v>45</v>
      </c>
      <c r="X1" s="53" t="s">
        <v>16</v>
      </c>
      <c r="Y1" s="53" t="s">
        <v>47</v>
      </c>
      <c r="Z1" s="59" t="s">
        <v>48</v>
      </c>
      <c r="AA1" s="55" t="s">
        <v>17</v>
      </c>
      <c r="AB1" s="51"/>
      <c r="AC1" s="51"/>
      <c r="AD1" s="52"/>
      <c r="AE1" s="56" t="s">
        <v>22</v>
      </c>
      <c r="AF1" s="51"/>
      <c r="AG1" s="51"/>
      <c r="AH1" s="52"/>
      <c r="AI1" s="56" t="s">
        <v>24</v>
      </c>
      <c r="AJ1" s="51"/>
      <c r="AK1" s="51"/>
      <c r="AL1" s="52"/>
      <c r="AM1" s="61" t="s">
        <v>26</v>
      </c>
      <c r="AN1" s="56" t="s">
        <v>27</v>
      </c>
      <c r="AO1" s="51"/>
      <c r="AP1" s="51"/>
      <c r="AQ1" s="51"/>
      <c r="AR1" s="51"/>
      <c r="AS1" s="51"/>
      <c r="AT1" s="51"/>
      <c r="AU1" s="51"/>
      <c r="AV1" s="51"/>
      <c r="AW1" s="52"/>
      <c r="AX1" s="56" t="s">
        <v>35</v>
      </c>
      <c r="AY1" s="51"/>
      <c r="AZ1" s="51"/>
      <c r="BA1" s="52"/>
      <c r="BB1" s="56" t="s">
        <v>36</v>
      </c>
      <c r="BC1" s="51"/>
      <c r="BD1" s="51"/>
      <c r="BE1" s="51"/>
      <c r="BF1" s="52"/>
    </row>
    <row r="2" spans="5:58" s="3" customFormat="1" ht="32.25" customHeight="1" x14ac:dyDescent="0.25">
      <c r="E2" s="29" t="s">
        <v>43</v>
      </c>
      <c r="G2" s="50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12</v>
      </c>
      <c r="T2" s="8" t="s">
        <v>13</v>
      </c>
      <c r="U2" s="12" t="s">
        <v>14</v>
      </c>
      <c r="V2" s="58"/>
      <c r="W2" s="54"/>
      <c r="X2" s="54"/>
      <c r="Y2" s="54"/>
      <c r="Z2" s="60"/>
      <c r="AA2" s="10" t="s">
        <v>18</v>
      </c>
      <c r="AB2" s="9" t="s">
        <v>19</v>
      </c>
      <c r="AC2" s="9" t="s">
        <v>20</v>
      </c>
      <c r="AD2" s="28" t="s">
        <v>21</v>
      </c>
      <c r="AE2" s="11" t="s">
        <v>18</v>
      </c>
      <c r="AF2" s="9" t="s">
        <v>19</v>
      </c>
      <c r="AG2" s="9" t="s">
        <v>23</v>
      </c>
      <c r="AH2" s="28" t="s">
        <v>21</v>
      </c>
      <c r="AI2" s="11" t="s">
        <v>18</v>
      </c>
      <c r="AJ2" s="9" t="s">
        <v>19</v>
      </c>
      <c r="AK2" s="9" t="s">
        <v>25</v>
      </c>
      <c r="AL2" s="28" t="s">
        <v>21</v>
      </c>
      <c r="AM2" s="62"/>
      <c r="AN2" s="11" t="s">
        <v>28</v>
      </c>
      <c r="AO2" s="8" t="s">
        <v>29</v>
      </c>
      <c r="AP2" s="8" t="s">
        <v>30</v>
      </c>
      <c r="AQ2" s="9" t="s">
        <v>31</v>
      </c>
      <c r="AR2" s="8" t="s">
        <v>3</v>
      </c>
      <c r="AS2" s="9" t="s">
        <v>44</v>
      </c>
      <c r="AT2" s="8" t="s">
        <v>32</v>
      </c>
      <c r="AU2" s="8" t="s">
        <v>2</v>
      </c>
      <c r="AV2" s="9" t="s">
        <v>33</v>
      </c>
      <c r="AW2" s="12" t="s">
        <v>34</v>
      </c>
      <c r="AX2" s="11" t="s">
        <v>37</v>
      </c>
      <c r="AY2" s="8" t="s">
        <v>38</v>
      </c>
      <c r="AZ2" s="8" t="s">
        <v>39</v>
      </c>
      <c r="BA2" s="12" t="s">
        <v>40</v>
      </c>
      <c r="BB2" s="11" t="s">
        <v>37</v>
      </c>
      <c r="BC2" s="8" t="s">
        <v>41</v>
      </c>
      <c r="BD2" s="8" t="s">
        <v>38</v>
      </c>
      <c r="BE2" s="8" t="s">
        <v>39</v>
      </c>
      <c r="BF2" s="12" t="s">
        <v>40</v>
      </c>
    </row>
    <row r="3" spans="5:58" x14ac:dyDescent="0.25">
      <c r="E3" s="29" t="str">
        <f>_xlfn.CONCAT(H3,"-",I3)</f>
        <v>192-191</v>
      </c>
      <c r="G3" s="13" t="s">
        <v>42</v>
      </c>
      <c r="H3" s="23" t="s">
        <v>63</v>
      </c>
      <c r="I3" s="24" t="s">
        <v>64</v>
      </c>
      <c r="J3" s="42"/>
      <c r="K3" s="43"/>
      <c r="L3" s="44"/>
      <c r="M3" s="42"/>
      <c r="N3" s="43"/>
      <c r="O3" s="44"/>
      <c r="P3" s="42"/>
      <c r="Q3" s="43"/>
      <c r="R3" s="44"/>
      <c r="S3" s="18">
        <f>SUM(J3:L3)</f>
        <v>0</v>
      </c>
      <c r="T3" s="16">
        <f>SUM(M3:O3)</f>
        <v>0</v>
      </c>
      <c r="U3" s="19">
        <f>SUM(P3:R3)</f>
        <v>0</v>
      </c>
      <c r="V3" s="18">
        <f>SUM(S3:U3)</f>
        <v>0</v>
      </c>
      <c r="W3" s="16">
        <f>V3</f>
        <v>0</v>
      </c>
      <c r="X3" s="16">
        <v>10</v>
      </c>
      <c r="Y3" s="16">
        <f>AU3/AT3/60</f>
        <v>0.1786708813383415</v>
      </c>
      <c r="Z3" s="19">
        <f>SUM(X3:Y3)</f>
        <v>10.178670881338341</v>
      </c>
      <c r="AA3" s="31">
        <f t="shared" ref="AA3:AA5" si="0">SUMPRODUCT(J3:L3,$J$2:$L$2)*2.78</f>
        <v>0</v>
      </c>
      <c r="AB3" s="16">
        <f>AA3</f>
        <v>0</v>
      </c>
      <c r="AC3" s="16">
        <f t="shared" ref="AC3:AC5" si="1">732.951/(X3+6.199)^0.81</f>
        <v>76.805000323638325</v>
      </c>
      <c r="AD3" s="27">
        <f>AC3*AB3</f>
        <v>0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0</v>
      </c>
      <c r="AN3" s="15">
        <f>INDEX(PipeData,MATCH($E3,PipeData_FromToId,0),COLUMN(PipeData_InnerDiameter))*1000</f>
        <v>300</v>
      </c>
      <c r="AO3" s="14"/>
      <c r="AP3" s="14"/>
      <c r="AQ3" s="16">
        <f>AN3/25*25.4</f>
        <v>304.79999999999995</v>
      </c>
      <c r="AR3" s="41">
        <v>3.5000000000000001E-3</v>
      </c>
      <c r="AS3" s="16">
        <f t="shared" ref="AS3:AS5" si="2">ManningCircular(AQ3/1000,AR3,Const_NConcrete)</f>
        <v>59.682516135642125</v>
      </c>
      <c r="AT3" s="16">
        <f>AS3/((AN3/2000)^2*PI())/1000</f>
        <v>0.84433488525771083</v>
      </c>
      <c r="AU3" s="16">
        <f t="shared" ref="AU3:AU28" si="3">INDEX(PipeData,MATCH($E3,PipeData_FromToId,0),COLUMN(PipeData_Length))</f>
        <v>9.0514834856221587</v>
      </c>
      <c r="AV3" s="16">
        <f>AS3-AM3</f>
        <v>59.682516135642125</v>
      </c>
      <c r="AW3" s="48">
        <f>AM3/AS3</f>
        <v>0</v>
      </c>
      <c r="AX3" s="34">
        <v>104.2</v>
      </c>
      <c r="AY3" s="36">
        <f t="shared" ref="AY3:AY5" si="4">AZ3+AQ3/1000</f>
        <v>97.897636232891628</v>
      </c>
      <c r="AZ3" s="36">
        <f t="shared" ref="AZ3:AZ5" si="5">BE3+AU3*AR3</f>
        <v>97.592836232891628</v>
      </c>
      <c r="BA3" s="37">
        <f t="shared" ref="BA3:BA5" si="6">AX3-AY3</f>
        <v>6.3023637671083748</v>
      </c>
      <c r="BB3" s="38">
        <f t="shared" ref="BB3:BB4" si="7">INDEX(Design,MATCH(I3,Design_From,0),COLUMN(Design_StartCenterlin))</f>
        <v>104.2</v>
      </c>
      <c r="BC3" s="39"/>
      <c r="BD3" s="36">
        <f t="shared" ref="BD3:BD26" si="8">AY4+BC3</f>
        <v>97.865956040691955</v>
      </c>
      <c r="BE3" s="36">
        <f t="shared" ref="BE3:BE5" si="9">BD3-AQ3/1000</f>
        <v>97.561156040691955</v>
      </c>
      <c r="BF3" s="37">
        <f t="shared" ref="BF3:BF5" si="10">BB3-BD3</f>
        <v>6.3340439593080475</v>
      </c>
    </row>
    <row r="4" spans="5:58" x14ac:dyDescent="0.25">
      <c r="E4" s="29" t="str">
        <f t="shared" ref="E4:E5" si="11">_xlfn.CONCAT(H4,"-",I4)</f>
        <v>191-EX.508</v>
      </c>
      <c r="G4" s="17" t="s">
        <v>42</v>
      </c>
      <c r="H4" s="25" t="s">
        <v>64</v>
      </c>
      <c r="I4" s="26" t="s">
        <v>66</v>
      </c>
      <c r="J4" s="45"/>
      <c r="K4" s="46"/>
      <c r="L4" s="47">
        <v>0.42</v>
      </c>
      <c r="M4" s="45"/>
      <c r="N4" s="46"/>
      <c r="O4" s="47"/>
      <c r="P4" s="45"/>
      <c r="Q4" s="46"/>
      <c r="R4" s="47"/>
      <c r="S4" s="20">
        <f>SUM(J4:L4)</f>
        <v>0.42</v>
      </c>
      <c r="T4" s="21">
        <f>SUM(M4:O4)</f>
        <v>0</v>
      </c>
      <c r="U4" s="22">
        <f>SUM(P4:R4)</f>
        <v>0</v>
      </c>
      <c r="V4" s="20">
        <f>SUM(S4:U4)</f>
        <v>0.42</v>
      </c>
      <c r="W4" s="21">
        <f>SUMIF($I$3:$I3,$H4,W$3:W3)+V4</f>
        <v>0.42</v>
      </c>
      <c r="X4" s="21">
        <f t="array" ref="X4">MAX(--(I$3:I3=H4)*Z$3:Z3,10)</f>
        <v>10.178670881338341</v>
      </c>
      <c r="Y4" s="21">
        <f t="shared" ref="Y4:Y5" si="12">AU4/AT4/60</f>
        <v>1.9370013399855812</v>
      </c>
      <c r="Z4" s="19">
        <f t="shared" ref="Z4:Z5" si="13">SUM(X4:Y4)</f>
        <v>12.115672221323923</v>
      </c>
      <c r="AA4" s="32">
        <f t="shared" si="0"/>
        <v>0.75893999999999995</v>
      </c>
      <c r="AB4" s="21">
        <f>SUMIF($I$3:$I3,$H4,AB$3:AB3)+AA4</f>
        <v>0.75893999999999995</v>
      </c>
      <c r="AC4" s="21">
        <f t="shared" si="1"/>
        <v>76.125596511545609</v>
      </c>
      <c r="AD4" s="30">
        <f t="shared" ref="AD4:AD5" si="14">AC4*AB4</f>
        <v>57.774760216472423</v>
      </c>
      <c r="AE4" s="18">
        <f t="shared" ref="AE4:AE5" si="15">SUMPRODUCT(M4:O4,$M$2:$O$2)*2.78</f>
        <v>0</v>
      </c>
      <c r="AF4" s="21">
        <f>SUMIF($I$3:$I3,$H4,AF$3:AF3)+AE4</f>
        <v>0</v>
      </c>
      <c r="AG4" s="16">
        <f t="shared" ref="AG4:AG5" si="16">998.071/(X4+6.053)^0.814</f>
        <v>103.25848982554091</v>
      </c>
      <c r="AH4" s="27">
        <f t="shared" ref="AH4:AH5" si="17">AG4*AF4</f>
        <v>0</v>
      </c>
      <c r="AI4" s="18">
        <f t="shared" ref="AI4:AI5" si="18">SUMPRODUCT(P4:R4,$P$2:$R$2)</f>
        <v>0</v>
      </c>
      <c r="AJ4" s="21">
        <f>SUMIF($I$3:$I3,$H4,AJ$3:AJ3)+AI4</f>
        <v>0</v>
      </c>
      <c r="AK4" s="16">
        <f t="shared" ref="AK4:AK5" si="19">1174.184/(X4+6.014)^0.816</f>
        <v>121.04093540650155</v>
      </c>
      <c r="AL4" s="27">
        <f t="shared" ref="AL4:AL5" si="20">AK4*AJ4</f>
        <v>0</v>
      </c>
      <c r="AM4" s="33">
        <f t="shared" ref="AM4:AM5" si="21">SUM(AL4,AH4,AD4)</f>
        <v>57.774760216472423</v>
      </c>
      <c r="AN4" s="15">
        <f>INDEX(PipeData,MATCH($E4,PipeData_FromToId,0),COLUMN(PipeData_InnerDiameter))*1000</f>
        <v>375</v>
      </c>
      <c r="AO4" s="14"/>
      <c r="AP4" s="14"/>
      <c r="AQ4" s="16">
        <f t="shared" ref="AQ4:AQ5" si="22">AN4/25*25.4</f>
        <v>381</v>
      </c>
      <c r="AR4" s="41">
        <v>4.0000000000000001E-3</v>
      </c>
      <c r="AS4" s="16">
        <f t="shared" si="2"/>
        <v>115.68306828259242</v>
      </c>
      <c r="AT4" s="16">
        <f t="shared" ref="AT4:AT5" si="23">AS4/((AN4/2000)^2*PI())/1000</f>
        <v>1.047411606710718</v>
      </c>
      <c r="AU4" s="16">
        <f t="shared" si="3"/>
        <v>121.73026114290668</v>
      </c>
      <c r="AV4" s="16">
        <f t="shared" ref="AV4:AV5" si="24">AS4-AM4</f>
        <v>57.908308066119993</v>
      </c>
      <c r="AW4" s="48">
        <f t="shared" ref="AW4:AW5" si="25">AM4/AS4</f>
        <v>0.49942278566937154</v>
      </c>
      <c r="AX4" s="35">
        <v>104.2</v>
      </c>
      <c r="AY4" s="36">
        <f t="shared" si="4"/>
        <v>97.865956040691955</v>
      </c>
      <c r="AZ4" s="36">
        <f t="shared" si="5"/>
        <v>97.484956040691955</v>
      </c>
      <c r="BA4" s="37">
        <f t="shared" si="6"/>
        <v>6.3340439593080475</v>
      </c>
      <c r="BB4" s="38">
        <f t="shared" si="7"/>
        <v>100</v>
      </c>
      <c r="BC4" s="40"/>
      <c r="BD4" s="36">
        <f t="shared" si="8"/>
        <v>97.379034996120325</v>
      </c>
      <c r="BE4" s="36">
        <f t="shared" si="9"/>
        <v>96.998034996120325</v>
      </c>
      <c r="BF4" s="37">
        <f t="shared" si="10"/>
        <v>2.6209650038796752</v>
      </c>
    </row>
    <row r="5" spans="5:58" x14ac:dyDescent="0.25">
      <c r="E5" s="29" t="str">
        <f t="shared" si="11"/>
        <v>192-193</v>
      </c>
      <c r="G5" s="17" t="s">
        <v>42</v>
      </c>
      <c r="H5" s="25" t="s">
        <v>63</v>
      </c>
      <c r="I5" s="26" t="s">
        <v>68</v>
      </c>
      <c r="J5" s="45">
        <v>0.18</v>
      </c>
      <c r="K5" s="46"/>
      <c r="L5" s="47">
        <v>0.26</v>
      </c>
      <c r="M5" s="45"/>
      <c r="N5" s="46"/>
      <c r="O5" s="47"/>
      <c r="P5" s="45"/>
      <c r="Q5" s="46"/>
      <c r="R5" s="47"/>
      <c r="S5" s="20">
        <f>SUM(J5:L5)</f>
        <v>0.44</v>
      </c>
      <c r="T5" s="21">
        <f>SUM(M5:O5)</f>
        <v>0</v>
      </c>
      <c r="U5" s="22">
        <f>SUM(P5:R5)</f>
        <v>0</v>
      </c>
      <c r="V5" s="20">
        <f>SUM(S5:U5)</f>
        <v>0.44</v>
      </c>
      <c r="W5" s="21">
        <f>SUMIF(I$3:I4,H5,W$3:W4)+V5</f>
        <v>0.44</v>
      </c>
      <c r="X5" s="21">
        <f t="array" ref="X5">MAX(--(I$3:I4=H5)*Z$3:Z4,10)</f>
        <v>10</v>
      </c>
      <c r="Y5" s="21">
        <f t="shared" si="12"/>
        <v>1.0738663973236979</v>
      </c>
      <c r="Z5" s="19">
        <f t="shared" si="13"/>
        <v>11.073866397323698</v>
      </c>
      <c r="AA5" s="32">
        <f t="shared" si="0"/>
        <v>0.75504799999999994</v>
      </c>
      <c r="AB5" s="21">
        <f>SUMIF($I$3:$I4,$H5,AB$3:AB4)+AA5</f>
        <v>0.75504799999999994</v>
      </c>
      <c r="AC5" s="21">
        <f t="shared" si="1"/>
        <v>76.805000323638325</v>
      </c>
      <c r="AD5" s="30">
        <f t="shared" si="14"/>
        <v>57.991461884362465</v>
      </c>
      <c r="AE5" s="18">
        <f t="shared" si="15"/>
        <v>0</v>
      </c>
      <c r="AF5" s="21">
        <f>SUMIF($I$3:$I4,$H5,AF$3:AF4)+AE5</f>
        <v>0</v>
      </c>
      <c r="AG5" s="16">
        <f t="shared" si="16"/>
        <v>104.1930342415708</v>
      </c>
      <c r="AH5" s="27">
        <f t="shared" si="17"/>
        <v>0</v>
      </c>
      <c r="AI5" s="18">
        <f t="shared" si="18"/>
        <v>0</v>
      </c>
      <c r="AJ5" s="21">
        <f>SUMIF($I$3:$I4,$H5,AJ$3:AJ4)+AI5</f>
        <v>0</v>
      </c>
      <c r="AK5" s="16">
        <f t="shared" si="19"/>
        <v>122.1417959950312</v>
      </c>
      <c r="AL5" s="27">
        <f t="shared" si="20"/>
        <v>0</v>
      </c>
      <c r="AM5" s="33">
        <f t="shared" si="21"/>
        <v>57.991461884362465</v>
      </c>
      <c r="AN5" s="15">
        <f>INDEX(PipeData,MATCH($E5,PipeData_FromToId,0),COLUMN(PipeData_InnerDiameter))*1000</f>
        <v>450</v>
      </c>
      <c r="AO5" s="14"/>
      <c r="AP5" s="14"/>
      <c r="AQ5" s="16">
        <f t="shared" si="22"/>
        <v>457.2</v>
      </c>
      <c r="AR5" s="41">
        <v>2.5000000000000001E-3</v>
      </c>
      <c r="AS5" s="16">
        <f t="shared" si="2"/>
        <v>148.71671957357131</v>
      </c>
      <c r="AT5" s="16">
        <f t="shared" si="23"/>
        <v>0.93507164604622606</v>
      </c>
      <c r="AU5" s="16">
        <f t="shared" si="3"/>
        <v>60.248521186752043</v>
      </c>
      <c r="AV5" s="16">
        <f t="shared" si="24"/>
        <v>90.725257689208846</v>
      </c>
      <c r="AW5" s="48">
        <f t="shared" si="25"/>
        <v>0.38994581141008589</v>
      </c>
      <c r="AX5" s="35">
        <v>104.2</v>
      </c>
      <c r="AY5" s="36">
        <f t="shared" si="4"/>
        <v>97.379034996120325</v>
      </c>
      <c r="AZ5" s="36">
        <f t="shared" si="5"/>
        <v>96.921834996120324</v>
      </c>
      <c r="BA5" s="37">
        <f t="shared" si="6"/>
        <v>6.8209650038796781</v>
      </c>
      <c r="BB5" s="38">
        <v>104</v>
      </c>
      <c r="BC5" s="40"/>
      <c r="BD5" s="36">
        <f t="shared" si="8"/>
        <v>97.228413693153442</v>
      </c>
      <c r="BE5" s="36">
        <f t="shared" si="9"/>
        <v>96.771213693153442</v>
      </c>
      <c r="BF5" s="37">
        <f t="shared" si="10"/>
        <v>6.771586306846558</v>
      </c>
    </row>
    <row r="6" spans="5:58" x14ac:dyDescent="0.25">
      <c r="E6" s="29" t="str">
        <f t="shared" ref="E6:E28" si="26">_xlfn.CONCAT(H6,"-",I6)</f>
        <v>193-194</v>
      </c>
      <c r="G6" s="17" t="s">
        <v>42</v>
      </c>
      <c r="H6" s="25" t="s">
        <v>68</v>
      </c>
      <c r="I6" s="26" t="s">
        <v>69</v>
      </c>
      <c r="J6" s="45"/>
      <c r="K6" s="46"/>
      <c r="L6" s="47"/>
      <c r="M6" s="45"/>
      <c r="N6" s="46"/>
      <c r="O6" s="47"/>
      <c r="P6" s="45"/>
      <c r="Q6" s="46"/>
      <c r="R6" s="47"/>
      <c r="S6" s="20">
        <f t="shared" ref="S6:S28" si="27">SUM(J6:L6)</f>
        <v>0</v>
      </c>
      <c r="T6" s="21">
        <f t="shared" ref="T6:T28" si="28">SUM(M6:O6)</f>
        <v>0</v>
      </c>
      <c r="U6" s="22">
        <f t="shared" ref="U6:U28" si="29">SUM(P6:R6)</f>
        <v>0</v>
      </c>
      <c r="V6" s="20">
        <f t="shared" ref="V6:V28" si="30">SUM(S6:U6)</f>
        <v>0</v>
      </c>
      <c r="W6" s="21">
        <f>SUMIF(I$3:I5,H6,W$3:W5)+V6</f>
        <v>0.44</v>
      </c>
      <c r="X6" s="21">
        <f t="array" ref="X6">MAX(--(I$3:I5=H6)*Z$3:Z5,10)</f>
        <v>11.073866397323698</v>
      </c>
      <c r="Y6" s="21">
        <f t="shared" ref="Y6:Y28" si="31">AU6/AT6/60</f>
        <v>0.15250257011573753</v>
      </c>
      <c r="Z6" s="19">
        <f t="shared" ref="Z6:Z28" si="32">SUM(X6:Y6)</f>
        <v>11.226368967439436</v>
      </c>
      <c r="AA6" s="32">
        <f t="shared" ref="AA6:AA28" si="33">SUMPRODUCT(J6:L6,$J$2:$L$2)*2.78</f>
        <v>0</v>
      </c>
      <c r="AB6" s="21">
        <f>SUMIF($I$3:$I5,$H6,AB$3:AB5)+AA6</f>
        <v>0.75504799999999994</v>
      </c>
      <c r="AC6" s="21">
        <f t="shared" ref="AC6:AC28" si="34">732.951/(X6+6.199)^0.81</f>
        <v>72.913805680364831</v>
      </c>
      <c r="AD6" s="30">
        <f t="shared" ref="AD6:AD28" si="35">AC6*AB6</f>
        <v>55.053423151348099</v>
      </c>
      <c r="AE6" s="18">
        <f t="shared" ref="AE6:AE28" si="36">SUMPRODUCT(M6:O6,$M$2:$O$2)*2.78</f>
        <v>0</v>
      </c>
      <c r="AF6" s="21">
        <f>SUMIF($I$3:$I5,$H6,AF$3:AF5)+AE6</f>
        <v>0</v>
      </c>
      <c r="AG6" s="16">
        <f t="shared" ref="AG6:AG28" si="37">998.071/(X6+6.053)^0.814</f>
        <v>98.843386900034318</v>
      </c>
      <c r="AH6" s="27">
        <f t="shared" ref="AH6:AH28" si="38">AG6*AF6</f>
        <v>0</v>
      </c>
      <c r="AI6" s="18">
        <f t="shared" ref="AI6:AI28" si="39">SUMPRODUCT(P6:R6,$P$2:$R$2)</f>
        <v>0</v>
      </c>
      <c r="AJ6" s="21">
        <f>SUMIF($I$3:$I5,$H6,AJ$3:AJ5)+AI6</f>
        <v>0</v>
      </c>
      <c r="AK6" s="16">
        <f t="shared" ref="AK6:AK28" si="40">1174.184/(X6+6.014)^0.816</f>
        <v>115.84115549846102</v>
      </c>
      <c r="AL6" s="27">
        <f t="shared" ref="AL6:AL28" si="41">AK6*AJ6</f>
        <v>0</v>
      </c>
      <c r="AM6" s="33">
        <f t="shared" ref="AM6:AM28" si="42">SUM(AL6,AH6,AD6)</f>
        <v>55.053423151348099</v>
      </c>
      <c r="AN6" s="15">
        <f>INDEX(PipeData,MATCH($E6,PipeData_FromToId,0),COLUMN(PipeData_InnerDiameter))*1000</f>
        <v>450</v>
      </c>
      <c r="AO6" s="14"/>
      <c r="AP6" s="14"/>
      <c r="AQ6" s="16">
        <f t="shared" ref="AQ6:AQ28" si="43">AN6/25*25.4</f>
        <v>457.2</v>
      </c>
      <c r="AR6" s="41">
        <v>2.5000000000000001E-3</v>
      </c>
      <c r="AS6" s="16">
        <f t="shared" ref="AS6:AS28" si="44">ManningCircular(AQ6/1000,AR6,Const_NConcrete)</f>
        <v>148.71671957357131</v>
      </c>
      <c r="AT6" s="16">
        <f t="shared" ref="AT6:AT28" si="45">AS6/((AN6/2000)^2*PI())/1000</f>
        <v>0.93507164604622606</v>
      </c>
      <c r="AU6" s="16">
        <f t="shared" si="3"/>
        <v>8.5560497558641622</v>
      </c>
      <c r="AV6" s="16">
        <f t="shared" ref="AV6:AV28" si="46">AS6-AM6</f>
        <v>93.663296422223212</v>
      </c>
      <c r="AW6" s="48">
        <f t="shared" ref="AW6:AW28" si="47">AM6/AS6</f>
        <v>0.37018987044098123</v>
      </c>
      <c r="AX6" s="35">
        <v>104.2</v>
      </c>
      <c r="AY6" s="36">
        <f t="shared" ref="AY6:AY28" si="48">AZ6+AQ6/1000</f>
        <v>97.228413693153442</v>
      </c>
      <c r="AZ6" s="36">
        <f t="shared" ref="AZ6:AZ28" si="49">BE6+AU6*AR6</f>
        <v>96.771213693153442</v>
      </c>
      <c r="BA6" s="37">
        <f t="shared" ref="BA6:BA28" si="50">AX6-AY6</f>
        <v>6.9715863068465609</v>
      </c>
      <c r="BB6" s="38">
        <v>105</v>
      </c>
      <c r="BC6" s="40"/>
      <c r="BD6" s="36">
        <f t="shared" si="8"/>
        <v>97.207023568763788</v>
      </c>
      <c r="BE6" s="36">
        <f t="shared" ref="BE6:BE28" si="51">BD6-AQ6/1000</f>
        <v>96.749823568763787</v>
      </c>
      <c r="BF6" s="37">
        <f t="shared" ref="BF6:BF28" si="52">BB6-BD6</f>
        <v>7.7929764312362124</v>
      </c>
    </row>
    <row r="7" spans="5:58" x14ac:dyDescent="0.25">
      <c r="E7" s="29" t="str">
        <f t="shared" si="26"/>
        <v>194-Ex.510</v>
      </c>
      <c r="G7" s="17" t="s">
        <v>42</v>
      </c>
      <c r="H7" s="25" t="s">
        <v>69</v>
      </c>
      <c r="I7" s="26" t="s">
        <v>70</v>
      </c>
      <c r="J7" s="45">
        <v>0.3</v>
      </c>
      <c r="K7" s="46"/>
      <c r="L7" s="47">
        <v>0.42</v>
      </c>
      <c r="M7" s="45"/>
      <c r="N7" s="46"/>
      <c r="O7" s="47"/>
      <c r="P7" s="45"/>
      <c r="Q7" s="46"/>
      <c r="R7" s="47"/>
      <c r="S7" s="20">
        <f t="shared" si="27"/>
        <v>0.72</v>
      </c>
      <c r="T7" s="21">
        <f t="shared" si="28"/>
        <v>0</v>
      </c>
      <c r="U7" s="22">
        <f t="shared" si="29"/>
        <v>0</v>
      </c>
      <c r="V7" s="20">
        <f t="shared" si="30"/>
        <v>0.72</v>
      </c>
      <c r="W7" s="21">
        <f>SUMIF(I$3:I6,H7,W$3:W6)+V7</f>
        <v>1.1599999999999999</v>
      </c>
      <c r="X7" s="21">
        <f t="array" ref="X7">MAX(--(I$3:I6=H7)*Z$3:Z6,10)</f>
        <v>11.226368967439436</v>
      </c>
      <c r="Y7" s="21">
        <f t="shared" si="31"/>
        <v>1.4600870582153211</v>
      </c>
      <c r="Z7" s="19">
        <f t="shared" si="32"/>
        <v>12.686456025654756</v>
      </c>
      <c r="AA7" s="32">
        <f t="shared" si="33"/>
        <v>1.2343199999999999</v>
      </c>
      <c r="AB7" s="21">
        <f>SUMIF($I$3:$I6,$H7,AB$3:AB6)+AA7</f>
        <v>1.9893679999999998</v>
      </c>
      <c r="AC7" s="21">
        <f t="shared" si="34"/>
        <v>72.396494155663035</v>
      </c>
      <c r="AD7" s="30">
        <f t="shared" si="35"/>
        <v>144.02326878546305</v>
      </c>
      <c r="AE7" s="18">
        <f t="shared" si="36"/>
        <v>0</v>
      </c>
      <c r="AF7" s="21">
        <f>SUMIF($I$3:$I6,$H7,AF$3:AF6)+AE7</f>
        <v>0</v>
      </c>
      <c r="AG7" s="16">
        <f t="shared" si="37"/>
        <v>98.132699075837053</v>
      </c>
      <c r="AH7" s="27">
        <f t="shared" si="38"/>
        <v>0</v>
      </c>
      <c r="AI7" s="18">
        <f t="shared" si="39"/>
        <v>0</v>
      </c>
      <c r="AJ7" s="21">
        <f>SUMIF($I$3:$I6,$H7,AJ$3:AJ6)+AI7</f>
        <v>0</v>
      </c>
      <c r="AK7" s="16">
        <f t="shared" si="40"/>
        <v>115.00432370658808</v>
      </c>
      <c r="AL7" s="27">
        <f t="shared" si="41"/>
        <v>0</v>
      </c>
      <c r="AM7" s="33">
        <f t="shared" si="42"/>
        <v>144.02326878546305</v>
      </c>
      <c r="AN7" s="15">
        <f>INDEX(PipeData,MATCH($E7,PipeData_FromToId,0),COLUMN(PipeData_InnerDiameter))*1000</f>
        <v>675</v>
      </c>
      <c r="AO7" s="14"/>
      <c r="AP7" s="14"/>
      <c r="AQ7" s="16">
        <f t="shared" si="43"/>
        <v>685.8</v>
      </c>
      <c r="AR7" s="41">
        <v>3.5000000000000001E-3</v>
      </c>
      <c r="AS7" s="16">
        <f t="shared" si="44"/>
        <v>518.80064310027888</v>
      </c>
      <c r="AT7" s="16">
        <f t="shared" si="45"/>
        <v>1.449783252958702</v>
      </c>
      <c r="AU7" s="16">
        <f t="shared" si="3"/>
        <v>127.00858589173859</v>
      </c>
      <c r="AV7" s="16">
        <f t="shared" si="46"/>
        <v>374.7773743148158</v>
      </c>
      <c r="AW7" s="48">
        <f t="shared" si="47"/>
        <v>0.27760811537318164</v>
      </c>
      <c r="AX7" s="35">
        <v>104.2</v>
      </c>
      <c r="AY7" s="36">
        <f t="shared" si="48"/>
        <v>97.207023568763788</v>
      </c>
      <c r="AZ7" s="36">
        <f t="shared" si="49"/>
        <v>96.521223568763787</v>
      </c>
      <c r="BA7" s="37">
        <f t="shared" si="50"/>
        <v>6.9929764312362153</v>
      </c>
      <c r="BB7" s="38">
        <v>106</v>
      </c>
      <c r="BC7" s="40"/>
      <c r="BD7" s="36">
        <f t="shared" si="8"/>
        <v>96.762493518142705</v>
      </c>
      <c r="BE7" s="36">
        <f t="shared" si="51"/>
        <v>96.076693518142704</v>
      </c>
      <c r="BF7" s="37">
        <f t="shared" si="52"/>
        <v>9.2375064818572952</v>
      </c>
    </row>
    <row r="8" spans="5:58" x14ac:dyDescent="0.25">
      <c r="E8" s="29" t="str">
        <f t="shared" si="26"/>
        <v>Ex.510-180</v>
      </c>
      <c r="G8" s="17" t="s">
        <v>67</v>
      </c>
      <c r="H8" s="25" t="s">
        <v>70</v>
      </c>
      <c r="I8" s="26" t="s">
        <v>71</v>
      </c>
      <c r="J8" s="45"/>
      <c r="K8" s="46"/>
      <c r="L8" s="47"/>
      <c r="M8" s="45"/>
      <c r="N8" s="46"/>
      <c r="O8" s="47">
        <v>0.37</v>
      </c>
      <c r="P8" s="45"/>
      <c r="Q8" s="46"/>
      <c r="R8" s="47"/>
      <c r="S8" s="20">
        <f t="shared" si="27"/>
        <v>0</v>
      </c>
      <c r="T8" s="21">
        <f t="shared" si="28"/>
        <v>0.37</v>
      </c>
      <c r="U8" s="22">
        <f t="shared" si="29"/>
        <v>0</v>
      </c>
      <c r="V8" s="20">
        <f t="shared" si="30"/>
        <v>0.37</v>
      </c>
      <c r="W8" s="21">
        <f>SUMIF(I$3:I7,H8,W$3:W7)+V8</f>
        <v>1.5299999999999998</v>
      </c>
      <c r="X8" s="21">
        <f t="array" ref="X8">MAX(--(I$3:I7=H8)*Z$3:Z7,10)</f>
        <v>12.686456025654756</v>
      </c>
      <c r="Y8" s="21">
        <f t="shared" si="31"/>
        <v>0.5025607243248984</v>
      </c>
      <c r="Z8" s="19">
        <f t="shared" si="32"/>
        <v>13.189016749979654</v>
      </c>
      <c r="AA8" s="32">
        <f t="shared" si="33"/>
        <v>0</v>
      </c>
      <c r="AB8" s="21">
        <f>SUMIF($I$3:$I7,$H8,AB$3:AB7)+AA8</f>
        <v>1.9893679999999998</v>
      </c>
      <c r="AC8" s="21">
        <f t="shared" si="34"/>
        <v>67.828417706642924</v>
      </c>
      <c r="AD8" s="30">
        <f t="shared" si="35"/>
        <v>134.93568367622882</v>
      </c>
      <c r="AE8" s="18">
        <f t="shared" si="36"/>
        <v>0.66858999999999991</v>
      </c>
      <c r="AF8" s="21">
        <f>SUMIF($I$3:$I7,$H8,AF$3:AF7)+AE8</f>
        <v>0.66858999999999991</v>
      </c>
      <c r="AG8" s="16">
        <f t="shared" si="37"/>
        <v>91.862287391038222</v>
      </c>
      <c r="AH8" s="27">
        <f t="shared" si="38"/>
        <v>61.418206726774237</v>
      </c>
      <c r="AI8" s="18">
        <f t="shared" si="39"/>
        <v>0</v>
      </c>
      <c r="AJ8" s="21">
        <f>SUMIF($I$3:$I7,$H8,AJ$3:AJ7)+AI8</f>
        <v>0</v>
      </c>
      <c r="AK8" s="16">
        <f t="shared" si="40"/>
        <v>107.62291854850868</v>
      </c>
      <c r="AL8" s="27">
        <f t="shared" si="41"/>
        <v>0</v>
      </c>
      <c r="AM8" s="33">
        <f t="shared" si="42"/>
        <v>196.35389040300305</v>
      </c>
      <c r="AN8" s="15">
        <f>INDEX(PipeData,MATCH($E8,PipeData_FromToId,0),COLUMN(PipeData_InnerDiameter))*1000</f>
        <v>2690</v>
      </c>
      <c r="AO8" s="14"/>
      <c r="AP8" s="14"/>
      <c r="AQ8" s="16">
        <f t="shared" si="43"/>
        <v>2733.0399999999995</v>
      </c>
      <c r="AR8" s="41">
        <v>1.5E-3</v>
      </c>
      <c r="AS8" s="16">
        <f t="shared" si="44"/>
        <v>13558.390319349162</v>
      </c>
      <c r="AT8" s="16">
        <f t="shared" si="45"/>
        <v>2.3856882460924762</v>
      </c>
      <c r="AU8" s="16">
        <f t="shared" si="3"/>
        <v>71.937192778177888</v>
      </c>
      <c r="AV8" s="16">
        <f t="shared" si="46"/>
        <v>13362.03642894616</v>
      </c>
      <c r="AW8" s="48">
        <f t="shared" si="47"/>
        <v>1.4482094539112556E-2</v>
      </c>
      <c r="AX8" s="35">
        <v>104.2</v>
      </c>
      <c r="AY8" s="36">
        <f t="shared" si="48"/>
        <v>96.762493518142705</v>
      </c>
      <c r="AZ8" s="36">
        <f t="shared" si="49"/>
        <v>94.029453518142702</v>
      </c>
      <c r="BA8" s="37">
        <f t="shared" si="50"/>
        <v>7.437506481857298</v>
      </c>
      <c r="BB8" s="38">
        <v>107</v>
      </c>
      <c r="BC8" s="40"/>
      <c r="BD8" s="36">
        <f t="shared" si="8"/>
        <v>96.654587728975443</v>
      </c>
      <c r="BE8" s="36">
        <f t="shared" si="51"/>
        <v>93.92154772897544</v>
      </c>
      <c r="BF8" s="37">
        <f t="shared" si="52"/>
        <v>10.345412271024557</v>
      </c>
    </row>
    <row r="9" spans="5:58" x14ac:dyDescent="0.25">
      <c r="E9" s="29" t="str">
        <f t="shared" si="26"/>
        <v>127-128</v>
      </c>
      <c r="G9" s="17" t="s">
        <v>72</v>
      </c>
      <c r="H9" s="25" t="s">
        <v>73</v>
      </c>
      <c r="I9" s="26" t="s">
        <v>74</v>
      </c>
      <c r="J9" s="45"/>
      <c r="K9" s="46"/>
      <c r="L9" s="47"/>
      <c r="M9" s="45"/>
      <c r="N9" s="46"/>
      <c r="O9" s="47"/>
      <c r="P9" s="45"/>
      <c r="Q9" s="46"/>
      <c r="R9" s="47"/>
      <c r="S9" s="20">
        <f t="shared" si="27"/>
        <v>0</v>
      </c>
      <c r="T9" s="21">
        <f t="shared" si="28"/>
        <v>0</v>
      </c>
      <c r="U9" s="22">
        <f t="shared" si="29"/>
        <v>0</v>
      </c>
      <c r="V9" s="20">
        <f t="shared" si="30"/>
        <v>0</v>
      </c>
      <c r="W9" s="21">
        <f>SUMIF(I$3:I8,H9,W$3:W8)+V9</f>
        <v>0</v>
      </c>
      <c r="X9" s="21">
        <f t="array" ref="X9">MAX(--(I$3:I8=H9)*Z$3:Z8,10)</f>
        <v>10</v>
      </c>
      <c r="Y9" s="21">
        <f t="shared" si="31"/>
        <v>0.10788741306176207</v>
      </c>
      <c r="Z9" s="19">
        <f t="shared" si="32"/>
        <v>10.107887413061762</v>
      </c>
      <c r="AA9" s="32">
        <f t="shared" si="33"/>
        <v>0</v>
      </c>
      <c r="AB9" s="21">
        <f>SUMIF($I$3:$I8,$H9,AB$3:AB8)+AA9</f>
        <v>0</v>
      </c>
      <c r="AC9" s="21">
        <f t="shared" si="34"/>
        <v>76.805000323638325</v>
      </c>
      <c r="AD9" s="30">
        <f t="shared" si="35"/>
        <v>0</v>
      </c>
      <c r="AE9" s="18">
        <f t="shared" si="36"/>
        <v>0</v>
      </c>
      <c r="AF9" s="21">
        <f>SUMIF($I$3:$I8,$H9,AF$3:AF8)+AE9</f>
        <v>0</v>
      </c>
      <c r="AG9" s="16">
        <f t="shared" si="37"/>
        <v>104.1930342415708</v>
      </c>
      <c r="AH9" s="27">
        <f t="shared" si="38"/>
        <v>0</v>
      </c>
      <c r="AI9" s="18">
        <f t="shared" si="39"/>
        <v>0</v>
      </c>
      <c r="AJ9" s="21">
        <f>SUMIF($I$3:$I8,$H9,AJ$3:AJ8)+AI9</f>
        <v>0</v>
      </c>
      <c r="AK9" s="16">
        <f t="shared" si="40"/>
        <v>122.1417959950312</v>
      </c>
      <c r="AL9" s="27">
        <f t="shared" si="41"/>
        <v>0</v>
      </c>
      <c r="AM9" s="33">
        <f t="shared" si="42"/>
        <v>0</v>
      </c>
      <c r="AN9" s="15">
        <f>INDEX(PipeData,MATCH($E9,PipeData_FromToId,0),COLUMN(PipeData_InnerDiameter))*1000</f>
        <v>300</v>
      </c>
      <c r="AO9" s="14"/>
      <c r="AP9" s="14"/>
      <c r="AQ9" s="16">
        <f t="shared" si="43"/>
        <v>304.79999999999995</v>
      </c>
      <c r="AR9" s="41">
        <v>6.4999999999999997E-3</v>
      </c>
      <c r="AS9" s="16">
        <f t="shared" si="44"/>
        <v>81.333559687126325</v>
      </c>
      <c r="AT9" s="16">
        <f t="shared" si="45"/>
        <v>1.1506344945302991</v>
      </c>
      <c r="AU9" s="16">
        <f t="shared" si="3"/>
        <v>7.4483387396701319</v>
      </c>
      <c r="AV9" s="16">
        <f t="shared" si="46"/>
        <v>81.333559687126325</v>
      </c>
      <c r="AW9" s="48">
        <f t="shared" si="47"/>
        <v>0</v>
      </c>
      <c r="AX9" s="35">
        <v>104.2</v>
      </c>
      <c r="AY9" s="36">
        <f t="shared" si="48"/>
        <v>96.654587728975443</v>
      </c>
      <c r="AZ9" s="36">
        <f t="shared" si="49"/>
        <v>96.349787728975443</v>
      </c>
      <c r="BA9" s="37">
        <f t="shared" si="50"/>
        <v>7.5454122710245599</v>
      </c>
      <c r="BB9" s="38">
        <v>108</v>
      </c>
      <c r="BC9" s="40"/>
      <c r="BD9" s="36">
        <f t="shared" si="8"/>
        <v>96.606173527167584</v>
      </c>
      <c r="BE9" s="36">
        <f t="shared" si="51"/>
        <v>96.301373527167584</v>
      </c>
      <c r="BF9" s="37">
        <f t="shared" si="52"/>
        <v>11.393826472832416</v>
      </c>
    </row>
    <row r="10" spans="5:58" x14ac:dyDescent="0.25">
      <c r="E10" s="29" t="str">
        <f t="shared" si="26"/>
        <v>128-180</v>
      </c>
      <c r="G10" s="17" t="s">
        <v>72</v>
      </c>
      <c r="H10" s="25" t="s">
        <v>74</v>
      </c>
      <c r="I10" s="26" t="s">
        <v>71</v>
      </c>
      <c r="J10" s="45"/>
      <c r="K10" s="46"/>
      <c r="L10" s="47"/>
      <c r="M10" s="45"/>
      <c r="N10" s="46"/>
      <c r="O10" s="47"/>
      <c r="P10" s="45"/>
      <c r="Q10" s="46"/>
      <c r="R10" s="47"/>
      <c r="S10" s="20">
        <f t="shared" si="27"/>
        <v>0</v>
      </c>
      <c r="T10" s="21">
        <f t="shared" si="28"/>
        <v>0</v>
      </c>
      <c r="U10" s="22">
        <f t="shared" si="29"/>
        <v>0</v>
      </c>
      <c r="V10" s="20">
        <f t="shared" si="30"/>
        <v>0</v>
      </c>
      <c r="W10" s="21">
        <f>SUMIF(I$3:I9,H10,W$3:W9)+V10</f>
        <v>0</v>
      </c>
      <c r="X10" s="21">
        <f t="array" ref="X10">MAX(--(I$3:I9=H10)*Z$3:Z9,10)</f>
        <v>10.107887413061762</v>
      </c>
      <c r="Y10" s="21">
        <f t="shared" si="31"/>
        <v>1.6196521468524248</v>
      </c>
      <c r="Z10" s="19">
        <f t="shared" si="32"/>
        <v>11.727539559914188</v>
      </c>
      <c r="AA10" s="32">
        <f t="shared" si="33"/>
        <v>0</v>
      </c>
      <c r="AB10" s="21">
        <f>SUMIF($I$3:$I9,$H10,AB$3:AB9)+AA10</f>
        <v>0</v>
      </c>
      <c r="AC10" s="21">
        <f t="shared" si="34"/>
        <v>76.393142026718223</v>
      </c>
      <c r="AD10" s="30">
        <f t="shared" si="35"/>
        <v>0</v>
      </c>
      <c r="AE10" s="18">
        <f t="shared" si="36"/>
        <v>0</v>
      </c>
      <c r="AF10" s="21">
        <f>SUMIF($I$3:$I9,$H10,AF$3:AF9)+AE10</f>
        <v>0</v>
      </c>
      <c r="AG10" s="16">
        <f t="shared" si="37"/>
        <v>103.62648334876999</v>
      </c>
      <c r="AH10" s="27">
        <f t="shared" si="38"/>
        <v>0</v>
      </c>
      <c r="AI10" s="18">
        <f t="shared" si="39"/>
        <v>0</v>
      </c>
      <c r="AJ10" s="21">
        <f>SUMIF($I$3:$I9,$H10,AJ$3:AJ9)+AI10</f>
        <v>0</v>
      </c>
      <c r="AK10" s="16">
        <f t="shared" si="40"/>
        <v>121.47440958172447</v>
      </c>
      <c r="AL10" s="27">
        <f t="shared" si="41"/>
        <v>0</v>
      </c>
      <c r="AM10" s="33">
        <f t="shared" si="42"/>
        <v>0</v>
      </c>
      <c r="AN10" s="15">
        <f>INDEX(PipeData,MATCH($E10,PipeData_FromToId,0),COLUMN(PipeData_InnerDiameter))*1000</f>
        <v>525</v>
      </c>
      <c r="AO10" s="14"/>
      <c r="AP10" s="14"/>
      <c r="AQ10" s="16">
        <f t="shared" si="43"/>
        <v>533.4</v>
      </c>
      <c r="AR10" s="41">
        <v>3.5000000000000001E-3</v>
      </c>
      <c r="AS10" s="16">
        <f t="shared" si="44"/>
        <v>265.42913227067623</v>
      </c>
      <c r="AT10" s="16">
        <f t="shared" si="45"/>
        <v>1.2261401089587851</v>
      </c>
      <c r="AU10" s="16">
        <f t="shared" si="3"/>
        <v>119.15522758901774</v>
      </c>
      <c r="AV10" s="16">
        <f t="shared" si="46"/>
        <v>265.42913227067623</v>
      </c>
      <c r="AW10" s="48">
        <f t="shared" si="47"/>
        <v>0</v>
      </c>
      <c r="AX10" s="35">
        <v>104.2</v>
      </c>
      <c r="AY10" s="36">
        <f t="shared" si="48"/>
        <v>96.606173527167584</v>
      </c>
      <c r="AZ10" s="36">
        <f t="shared" si="49"/>
        <v>96.072773527167584</v>
      </c>
      <c r="BA10" s="37">
        <f t="shared" si="50"/>
        <v>7.5938264728324185</v>
      </c>
      <c r="BB10" s="38">
        <v>109</v>
      </c>
      <c r="BC10" s="40"/>
      <c r="BD10" s="36">
        <f t="shared" si="8"/>
        <v>96.189130230606025</v>
      </c>
      <c r="BE10" s="36">
        <f t="shared" si="51"/>
        <v>95.655730230606025</v>
      </c>
      <c r="BF10" s="37">
        <f t="shared" si="52"/>
        <v>12.810869769393975</v>
      </c>
    </row>
    <row r="11" spans="5:58" x14ac:dyDescent="0.25">
      <c r="E11" s="29" t="str">
        <f t="shared" si="26"/>
        <v>180-122B</v>
      </c>
      <c r="G11" s="17" t="s">
        <v>67</v>
      </c>
      <c r="H11" s="25" t="s">
        <v>71</v>
      </c>
      <c r="I11" s="26" t="s">
        <v>53</v>
      </c>
      <c r="J11" s="45"/>
      <c r="K11" s="46"/>
      <c r="L11" s="47"/>
      <c r="M11" s="45"/>
      <c r="N11" s="46"/>
      <c r="O11" s="47"/>
      <c r="P11" s="45"/>
      <c r="Q11" s="46"/>
      <c r="R11" s="47"/>
      <c r="S11" s="20">
        <f t="shared" si="27"/>
        <v>0</v>
      </c>
      <c r="T11" s="21">
        <f t="shared" si="28"/>
        <v>0</v>
      </c>
      <c r="U11" s="22">
        <f t="shared" si="29"/>
        <v>0</v>
      </c>
      <c r="V11" s="20">
        <f t="shared" si="30"/>
        <v>0</v>
      </c>
      <c r="W11" s="21">
        <f>SUMIF(I$3:I10,H11,W$3:W10)+V11</f>
        <v>1.5299999999999998</v>
      </c>
      <c r="X11" s="21">
        <f t="array" ref="X11">MAX(--(I$3:I10=H11)*Z$3:Z10,10)</f>
        <v>13.189016749979654</v>
      </c>
      <c r="Y11" s="21">
        <f t="shared" si="31"/>
        <v>0.53232526872506536</v>
      </c>
      <c r="Z11" s="19">
        <f t="shared" si="32"/>
        <v>13.721342018704719</v>
      </c>
      <c r="AA11" s="32">
        <f t="shared" si="33"/>
        <v>0</v>
      </c>
      <c r="AB11" s="21">
        <f>SUMIF($I$3:$I10,$H11,AB$3:AB10)+AA11</f>
        <v>1.9893679999999998</v>
      </c>
      <c r="AC11" s="21">
        <f t="shared" si="34"/>
        <v>66.400736861392645</v>
      </c>
      <c r="AD11" s="30">
        <f t="shared" si="35"/>
        <v>132.09550108847495</v>
      </c>
      <c r="AE11" s="18">
        <f t="shared" si="36"/>
        <v>0</v>
      </c>
      <c r="AF11" s="21">
        <f>SUMIF($I$3:$I10,$H11,AF$3:AF10)+AE11</f>
        <v>0.66858999999999991</v>
      </c>
      <c r="AG11" s="16">
        <f t="shared" si="37"/>
        <v>89.904505774919429</v>
      </c>
      <c r="AH11" s="27">
        <f t="shared" si="38"/>
        <v>60.109253516053371</v>
      </c>
      <c r="AI11" s="18">
        <f t="shared" si="39"/>
        <v>0</v>
      </c>
      <c r="AJ11" s="21">
        <f>SUMIF($I$3:$I10,$H11,AJ$3:AJ10)+AI11</f>
        <v>0</v>
      </c>
      <c r="AK11" s="16">
        <f t="shared" si="40"/>
        <v>105.31898820785207</v>
      </c>
      <c r="AL11" s="27">
        <f t="shared" si="41"/>
        <v>0</v>
      </c>
      <c r="AM11" s="33">
        <f t="shared" si="42"/>
        <v>192.20475460452832</v>
      </c>
      <c r="AN11" s="15">
        <f>INDEX(PipeData,MATCH($E11,PipeData_FromToId,0),COLUMN(PipeData_InnerDiameter))*1000</f>
        <v>2690</v>
      </c>
      <c r="AO11" s="14"/>
      <c r="AP11" s="14"/>
      <c r="AQ11" s="16">
        <f t="shared" si="43"/>
        <v>2733.0399999999995</v>
      </c>
      <c r="AR11" s="41">
        <v>1.5E-3</v>
      </c>
      <c r="AS11" s="16">
        <f t="shared" si="44"/>
        <v>13558.390319349162</v>
      </c>
      <c r="AT11" s="16">
        <f t="shared" si="45"/>
        <v>2.3856882460924762</v>
      </c>
      <c r="AU11" s="16">
        <f t="shared" si="3"/>
        <v>76.197728201724445</v>
      </c>
      <c r="AV11" s="16">
        <f t="shared" si="46"/>
        <v>13366.185564744634</v>
      </c>
      <c r="AW11" s="48">
        <f t="shared" si="47"/>
        <v>1.4176074746146903E-2</v>
      </c>
      <c r="AX11" s="35">
        <v>104.2</v>
      </c>
      <c r="AY11" s="36">
        <f t="shared" si="48"/>
        <v>96.189130230606025</v>
      </c>
      <c r="AZ11" s="36">
        <f t="shared" si="49"/>
        <v>93.456090230606023</v>
      </c>
      <c r="BA11" s="37">
        <f t="shared" si="50"/>
        <v>8.0108697693939774</v>
      </c>
      <c r="BB11" s="38">
        <v>110</v>
      </c>
      <c r="BC11" s="40"/>
      <c r="BD11" s="36">
        <f t="shared" si="8"/>
        <v>96.074833638303446</v>
      </c>
      <c r="BE11" s="36">
        <f t="shared" si="51"/>
        <v>93.341793638303443</v>
      </c>
      <c r="BF11" s="37">
        <f t="shared" si="52"/>
        <v>13.925166361696554</v>
      </c>
    </row>
    <row r="12" spans="5:58" x14ac:dyDescent="0.25">
      <c r="E12" s="29" t="str">
        <f t="shared" si="26"/>
        <v>122B-122</v>
      </c>
      <c r="G12" s="17" t="s">
        <v>67</v>
      </c>
      <c r="H12" s="25" t="s">
        <v>53</v>
      </c>
      <c r="I12" s="26" t="s">
        <v>75</v>
      </c>
      <c r="J12" s="45"/>
      <c r="K12" s="46"/>
      <c r="L12" s="47"/>
      <c r="M12" s="45"/>
      <c r="N12" s="46"/>
      <c r="O12" s="47"/>
      <c r="P12" s="45"/>
      <c r="Q12" s="46"/>
      <c r="R12" s="47"/>
      <c r="S12" s="20">
        <f t="shared" si="27"/>
        <v>0</v>
      </c>
      <c r="T12" s="21">
        <f t="shared" si="28"/>
        <v>0</v>
      </c>
      <c r="U12" s="22">
        <f t="shared" si="29"/>
        <v>0</v>
      </c>
      <c r="V12" s="20">
        <f t="shared" si="30"/>
        <v>0</v>
      </c>
      <c r="W12" s="21">
        <f>SUMIF(I$3:I11,H12,W$3:W11)+V12</f>
        <v>1.5299999999999998</v>
      </c>
      <c r="X12" s="21">
        <f t="array" ref="X12">MAX(--(I$3:I11=H12)*Z$3:Z11,10)</f>
        <v>13.721342018704719</v>
      </c>
      <c r="Y12" s="21">
        <f t="shared" si="31"/>
        <v>1.5603236736792677E-2</v>
      </c>
      <c r="Z12" s="19">
        <f t="shared" si="32"/>
        <v>13.736945255441512</v>
      </c>
      <c r="AA12" s="32">
        <f t="shared" si="33"/>
        <v>0</v>
      </c>
      <c r="AB12" s="21">
        <f>SUMIF($I$3:$I11,$H12,AB$3:AB11)+AA12</f>
        <v>1.9893679999999998</v>
      </c>
      <c r="AC12" s="21">
        <f t="shared" si="34"/>
        <v>64.959779377818506</v>
      </c>
      <c r="AD12" s="30">
        <f t="shared" si="35"/>
        <v>129.22890638129203</v>
      </c>
      <c r="AE12" s="18">
        <f t="shared" si="36"/>
        <v>0</v>
      </c>
      <c r="AF12" s="21">
        <f>SUMIF($I$3:$I11,$H12,AF$3:AF11)+AE12</f>
        <v>0.66858999999999991</v>
      </c>
      <c r="AG12" s="16">
        <f t="shared" si="37"/>
        <v>87.929453741047624</v>
      </c>
      <c r="AH12" s="27">
        <f t="shared" si="38"/>
        <v>58.788753476727024</v>
      </c>
      <c r="AI12" s="18">
        <f t="shared" si="39"/>
        <v>0</v>
      </c>
      <c r="AJ12" s="21">
        <f>SUMIF($I$3:$I11,$H12,AJ$3:AJ11)+AI12</f>
        <v>0</v>
      </c>
      <c r="AK12" s="16">
        <f t="shared" si="40"/>
        <v>102.99508915457969</v>
      </c>
      <c r="AL12" s="27">
        <f t="shared" si="41"/>
        <v>0</v>
      </c>
      <c r="AM12" s="33">
        <f t="shared" si="42"/>
        <v>188.01765985801904</v>
      </c>
      <c r="AN12" s="15">
        <f>INDEX(PipeData,MATCH($E12,PipeData_FromToId,0),COLUMN(PipeData_InnerDiameter))*1000</f>
        <v>3000</v>
      </c>
      <c r="AO12" s="14"/>
      <c r="AP12" s="14"/>
      <c r="AQ12" s="16">
        <f t="shared" si="43"/>
        <v>3048</v>
      </c>
      <c r="AR12" s="41">
        <v>6.4999999999999997E-3</v>
      </c>
      <c r="AS12" s="16">
        <f t="shared" si="44"/>
        <v>37751.694244174418</v>
      </c>
      <c r="AT12" s="16">
        <f t="shared" si="45"/>
        <v>5.3407722213815223</v>
      </c>
      <c r="AU12" s="16">
        <f t="shared" si="3"/>
        <v>4.9999999996501199</v>
      </c>
      <c r="AV12" s="16">
        <f t="shared" si="46"/>
        <v>37563.676584316396</v>
      </c>
      <c r="AW12" s="48">
        <f t="shared" si="47"/>
        <v>4.9803767386422037E-3</v>
      </c>
      <c r="AX12" s="35">
        <v>104.2</v>
      </c>
      <c r="AY12" s="36">
        <f t="shared" si="48"/>
        <v>96.074833638303446</v>
      </c>
      <c r="AZ12" s="36">
        <f t="shared" si="49"/>
        <v>93.026833638303444</v>
      </c>
      <c r="BA12" s="37">
        <f t="shared" si="50"/>
        <v>8.1251663616965573</v>
      </c>
      <c r="BB12" s="38">
        <v>111</v>
      </c>
      <c r="BC12" s="40"/>
      <c r="BD12" s="36">
        <f t="shared" si="8"/>
        <v>96.04233363830572</v>
      </c>
      <c r="BE12" s="36">
        <f t="shared" si="51"/>
        <v>92.994333638305719</v>
      </c>
      <c r="BF12" s="37">
        <f t="shared" si="52"/>
        <v>14.95766636169428</v>
      </c>
    </row>
    <row r="13" spans="5:58" x14ac:dyDescent="0.25">
      <c r="E13" s="29" t="str">
        <f t="shared" si="26"/>
        <v>127-123</v>
      </c>
      <c r="G13" s="17" t="s">
        <v>72</v>
      </c>
      <c r="H13" s="25" t="s">
        <v>73</v>
      </c>
      <c r="I13" s="26" t="s">
        <v>76</v>
      </c>
      <c r="J13" s="45"/>
      <c r="K13" s="46"/>
      <c r="L13" s="47"/>
      <c r="M13" s="45"/>
      <c r="N13" s="46"/>
      <c r="O13" s="47"/>
      <c r="P13" s="45"/>
      <c r="Q13" s="46"/>
      <c r="R13" s="47"/>
      <c r="S13" s="20">
        <f t="shared" si="27"/>
        <v>0</v>
      </c>
      <c r="T13" s="21">
        <f t="shared" si="28"/>
        <v>0</v>
      </c>
      <c r="U13" s="22">
        <f t="shared" si="29"/>
        <v>0</v>
      </c>
      <c r="V13" s="20">
        <f t="shared" si="30"/>
        <v>0</v>
      </c>
      <c r="W13" s="21">
        <f>SUMIF(I$3:I12,H13,W$3:W12)+V13</f>
        <v>0</v>
      </c>
      <c r="X13" s="21">
        <f t="array" ref="X13">MAX(--(I$3:I12=H13)*Z$3:Z12,10)</f>
        <v>10</v>
      </c>
      <c r="Y13" s="21">
        <f t="shared" si="31"/>
        <v>1.4472132609679567</v>
      </c>
      <c r="Z13" s="19">
        <f t="shared" si="32"/>
        <v>11.447213260967956</v>
      </c>
      <c r="AA13" s="32">
        <f t="shared" si="33"/>
        <v>0</v>
      </c>
      <c r="AB13" s="21">
        <f>SUMIF($I$3:$I12,$H13,AB$3:AB12)+AA13</f>
        <v>0</v>
      </c>
      <c r="AC13" s="21">
        <f t="shared" si="34"/>
        <v>76.805000323638325</v>
      </c>
      <c r="AD13" s="30">
        <f t="shared" si="35"/>
        <v>0</v>
      </c>
      <c r="AE13" s="18">
        <f t="shared" si="36"/>
        <v>0</v>
      </c>
      <c r="AF13" s="21">
        <f>SUMIF($I$3:$I12,$H13,AF$3:AF12)+AE13</f>
        <v>0</v>
      </c>
      <c r="AG13" s="16">
        <f t="shared" si="37"/>
        <v>104.1930342415708</v>
      </c>
      <c r="AH13" s="27">
        <f t="shared" si="38"/>
        <v>0</v>
      </c>
      <c r="AI13" s="18">
        <f t="shared" si="39"/>
        <v>0</v>
      </c>
      <c r="AJ13" s="21">
        <f>SUMIF($I$3:$I12,$H13,AJ$3:AJ12)+AI13</f>
        <v>0</v>
      </c>
      <c r="AK13" s="16">
        <f t="shared" si="40"/>
        <v>122.1417959950312</v>
      </c>
      <c r="AL13" s="27">
        <f t="shared" si="41"/>
        <v>0</v>
      </c>
      <c r="AM13" s="33">
        <f t="shared" si="42"/>
        <v>0</v>
      </c>
      <c r="AN13" s="15">
        <f>INDEX(PipeData,MATCH($E13,PipeData_FromToId,0),COLUMN(PipeData_InnerDiameter))*1000</f>
        <v>300</v>
      </c>
      <c r="AO13" s="14"/>
      <c r="AP13" s="14"/>
      <c r="AQ13" s="16">
        <f t="shared" si="43"/>
        <v>304.79999999999995</v>
      </c>
      <c r="AR13" s="41">
        <v>3.5000000000000001E-3</v>
      </c>
      <c r="AS13" s="16">
        <f t="shared" si="44"/>
        <v>59.682516135642125</v>
      </c>
      <c r="AT13" s="16">
        <f t="shared" si="45"/>
        <v>0.84433488525771083</v>
      </c>
      <c r="AU13" s="16">
        <f t="shared" si="3"/>
        <v>73.315958558569037</v>
      </c>
      <c r="AV13" s="16">
        <f t="shared" si="46"/>
        <v>59.682516135642125</v>
      </c>
      <c r="AW13" s="48">
        <f t="shared" si="47"/>
        <v>0</v>
      </c>
      <c r="AX13" s="35">
        <v>104.2</v>
      </c>
      <c r="AY13" s="36">
        <f t="shared" si="48"/>
        <v>96.04233363830572</v>
      </c>
      <c r="AZ13" s="36">
        <f t="shared" si="49"/>
        <v>95.73753363830572</v>
      </c>
      <c r="BA13" s="37">
        <f t="shared" si="50"/>
        <v>8.1576663616942824</v>
      </c>
      <c r="BB13" s="38">
        <v>112</v>
      </c>
      <c r="BC13" s="40"/>
      <c r="BD13" s="36">
        <f t="shared" si="8"/>
        <v>95.785727783350723</v>
      </c>
      <c r="BE13" s="36">
        <f t="shared" si="51"/>
        <v>95.480927783350722</v>
      </c>
      <c r="BF13" s="37">
        <f t="shared" si="52"/>
        <v>16.214272216649277</v>
      </c>
    </row>
    <row r="14" spans="5:58" x14ac:dyDescent="0.25">
      <c r="E14" s="29" t="str">
        <f t="shared" si="26"/>
        <v>124-123</v>
      </c>
      <c r="G14" s="17" t="s">
        <v>77</v>
      </c>
      <c r="H14" s="25" t="s">
        <v>78</v>
      </c>
      <c r="I14" s="26" t="s">
        <v>76</v>
      </c>
      <c r="J14" s="45"/>
      <c r="K14" s="46"/>
      <c r="L14" s="47"/>
      <c r="M14" s="45"/>
      <c r="N14" s="46"/>
      <c r="O14" s="47"/>
      <c r="P14" s="45"/>
      <c r="Q14" s="46"/>
      <c r="R14" s="47"/>
      <c r="S14" s="20">
        <f t="shared" si="27"/>
        <v>0</v>
      </c>
      <c r="T14" s="21">
        <f t="shared" si="28"/>
        <v>0</v>
      </c>
      <c r="U14" s="22">
        <f t="shared" si="29"/>
        <v>0</v>
      </c>
      <c r="V14" s="20">
        <f t="shared" si="30"/>
        <v>0</v>
      </c>
      <c r="W14" s="21">
        <f>SUMIF(I$3:I13,H14,W$3:W13)+V14</f>
        <v>0</v>
      </c>
      <c r="X14" s="21">
        <f t="array" ref="X14">MAX(--(I$3:I13=H14)*Z$3:Z13,10)</f>
        <v>10</v>
      </c>
      <c r="Y14" s="21">
        <f t="shared" si="31"/>
        <v>0.54789727386721154</v>
      </c>
      <c r="Z14" s="19">
        <f t="shared" si="32"/>
        <v>10.547897273867212</v>
      </c>
      <c r="AA14" s="32">
        <f t="shared" si="33"/>
        <v>0</v>
      </c>
      <c r="AB14" s="21">
        <f>SUMIF($I$3:$I13,$H14,AB$3:AB13)+AA14</f>
        <v>0</v>
      </c>
      <c r="AC14" s="21">
        <f t="shared" si="34"/>
        <v>76.805000323638325</v>
      </c>
      <c r="AD14" s="30">
        <f t="shared" si="35"/>
        <v>0</v>
      </c>
      <c r="AE14" s="18">
        <f t="shared" si="36"/>
        <v>0</v>
      </c>
      <c r="AF14" s="21">
        <f>SUMIF($I$3:$I13,$H14,AF$3:AF13)+AE14</f>
        <v>0</v>
      </c>
      <c r="AG14" s="16">
        <f t="shared" si="37"/>
        <v>104.1930342415708</v>
      </c>
      <c r="AH14" s="27">
        <f t="shared" si="38"/>
        <v>0</v>
      </c>
      <c r="AI14" s="18">
        <f t="shared" si="39"/>
        <v>0</v>
      </c>
      <c r="AJ14" s="21">
        <f>SUMIF($I$3:$I13,$H14,AJ$3:AJ13)+AI14</f>
        <v>0</v>
      </c>
      <c r="AK14" s="16">
        <f t="shared" si="40"/>
        <v>122.1417959950312</v>
      </c>
      <c r="AL14" s="27">
        <f t="shared" si="41"/>
        <v>0</v>
      </c>
      <c r="AM14" s="33">
        <f t="shared" si="42"/>
        <v>0</v>
      </c>
      <c r="AN14" s="15">
        <f>INDEX(PipeData,MATCH($E14,PipeData_FromToId,0),COLUMN(PipeData_InnerDiameter))*1000</f>
        <v>300</v>
      </c>
      <c r="AO14" s="14"/>
      <c r="AP14" s="14"/>
      <c r="AQ14" s="16">
        <f t="shared" si="43"/>
        <v>304.79999999999995</v>
      </c>
      <c r="AR14" s="41">
        <v>2.5000000000000001E-3</v>
      </c>
      <c r="AS14" s="16">
        <f t="shared" si="44"/>
        <v>50.440932444941296</v>
      </c>
      <c r="AT14" s="16">
        <f t="shared" si="45"/>
        <v>0.7135932206912684</v>
      </c>
      <c r="AU14" s="16">
        <f t="shared" si="3"/>
        <v>23.458546816012163</v>
      </c>
      <c r="AV14" s="16">
        <f t="shared" si="46"/>
        <v>50.440932444941296</v>
      </c>
      <c r="AW14" s="48">
        <f t="shared" si="47"/>
        <v>0</v>
      </c>
      <c r="AX14" s="35">
        <v>104.2</v>
      </c>
      <c r="AY14" s="36">
        <f t="shared" si="48"/>
        <v>95.785727783350723</v>
      </c>
      <c r="AZ14" s="36">
        <f t="shared" si="49"/>
        <v>95.480927783350722</v>
      </c>
      <c r="BA14" s="37">
        <f t="shared" si="50"/>
        <v>8.4142722166492803</v>
      </c>
      <c r="BB14" s="38">
        <v>113</v>
      </c>
      <c r="BC14" s="40"/>
      <c r="BD14" s="36">
        <f t="shared" si="8"/>
        <v>95.727081416310696</v>
      </c>
      <c r="BE14" s="36">
        <f t="shared" si="51"/>
        <v>95.422281416310696</v>
      </c>
      <c r="BF14" s="37">
        <f t="shared" si="52"/>
        <v>17.272918583689304</v>
      </c>
    </row>
    <row r="15" spans="5:58" x14ac:dyDescent="0.25">
      <c r="E15" s="29" t="str">
        <f t="shared" si="26"/>
        <v>123-122</v>
      </c>
      <c r="G15" s="17" t="s">
        <v>77</v>
      </c>
      <c r="H15" s="25" t="s">
        <v>76</v>
      </c>
      <c r="I15" s="26" t="s">
        <v>75</v>
      </c>
      <c r="J15" s="45"/>
      <c r="K15" s="46"/>
      <c r="L15" s="47"/>
      <c r="M15" s="45"/>
      <c r="N15" s="46"/>
      <c r="O15" s="47"/>
      <c r="P15" s="45"/>
      <c r="Q15" s="46"/>
      <c r="R15" s="47"/>
      <c r="S15" s="20">
        <f t="shared" si="27"/>
        <v>0</v>
      </c>
      <c r="T15" s="21">
        <f t="shared" si="28"/>
        <v>0</v>
      </c>
      <c r="U15" s="22">
        <f t="shared" si="29"/>
        <v>0</v>
      </c>
      <c r="V15" s="20">
        <f t="shared" si="30"/>
        <v>0</v>
      </c>
      <c r="W15" s="21">
        <f>SUMIF(I$3:I14,H15,W$3:W14)+V15</f>
        <v>0</v>
      </c>
      <c r="X15" s="21">
        <f t="array" ref="X15">MAX(--(I$3:I14=H15)*Z$3:Z14,10)</f>
        <v>11.447213260967956</v>
      </c>
      <c r="Y15" s="21">
        <f t="shared" si="31"/>
        <v>1.1056548824600572</v>
      </c>
      <c r="Z15" s="19">
        <f t="shared" si="32"/>
        <v>12.552868143428013</v>
      </c>
      <c r="AA15" s="32">
        <f t="shared" si="33"/>
        <v>0</v>
      </c>
      <c r="AB15" s="21">
        <f>SUMIF($I$3:$I14,$H15,AB$3:AB14)+AA15</f>
        <v>0</v>
      </c>
      <c r="AC15" s="21">
        <f t="shared" si="34"/>
        <v>71.661716684109834</v>
      </c>
      <c r="AD15" s="30">
        <f t="shared" si="35"/>
        <v>0</v>
      </c>
      <c r="AE15" s="18">
        <f t="shared" si="36"/>
        <v>0</v>
      </c>
      <c r="AF15" s="21">
        <f>SUMIF($I$3:$I14,$H15,AF$3:AF14)+AE15</f>
        <v>0</v>
      </c>
      <c r="AG15" s="16">
        <f t="shared" si="37"/>
        <v>97.123462589462022</v>
      </c>
      <c r="AH15" s="27">
        <f t="shared" si="38"/>
        <v>0</v>
      </c>
      <c r="AI15" s="18">
        <f t="shared" si="39"/>
        <v>0</v>
      </c>
      <c r="AJ15" s="21">
        <f>SUMIF($I$3:$I14,$H15,AJ$3:AJ14)+AI15</f>
        <v>0</v>
      </c>
      <c r="AK15" s="16">
        <f t="shared" si="40"/>
        <v>113.81603033117628</v>
      </c>
      <c r="AL15" s="27">
        <f t="shared" si="41"/>
        <v>0</v>
      </c>
      <c r="AM15" s="33">
        <f t="shared" si="42"/>
        <v>0</v>
      </c>
      <c r="AN15" s="15">
        <f>INDEX(PipeData,MATCH($E15,PipeData_FromToId,0),COLUMN(PipeData_InnerDiameter))*1000</f>
        <v>600</v>
      </c>
      <c r="AO15" s="14"/>
      <c r="AP15" s="14"/>
      <c r="AQ15" s="16">
        <f t="shared" si="43"/>
        <v>609.59999999999991</v>
      </c>
      <c r="AR15" s="41">
        <v>6.4999999999999997E-3</v>
      </c>
      <c r="AS15" s="16">
        <f t="shared" si="44"/>
        <v>516.43591283065075</v>
      </c>
      <c r="AT15" s="16">
        <f t="shared" si="45"/>
        <v>1.8265184070482943</v>
      </c>
      <c r="AU15" s="16">
        <f t="shared" si="3"/>
        <v>121.16993967936675</v>
      </c>
      <c r="AV15" s="16">
        <f t="shared" si="46"/>
        <v>516.43591283065075</v>
      </c>
      <c r="AW15" s="48">
        <f t="shared" si="47"/>
        <v>0</v>
      </c>
      <c r="AX15" s="35">
        <v>104.2</v>
      </c>
      <c r="AY15" s="36">
        <f t="shared" si="48"/>
        <v>95.727081416310696</v>
      </c>
      <c r="AZ15" s="36">
        <f t="shared" si="49"/>
        <v>95.117481416310696</v>
      </c>
      <c r="BA15" s="37">
        <f t="shared" si="50"/>
        <v>8.4729185836893066</v>
      </c>
      <c r="BB15" s="38">
        <v>114</v>
      </c>
      <c r="BC15" s="40"/>
      <c r="BD15" s="36">
        <f t="shared" si="8"/>
        <v>94.939476808394815</v>
      </c>
      <c r="BE15" s="36">
        <f t="shared" si="51"/>
        <v>94.329876808394815</v>
      </c>
      <c r="BF15" s="37">
        <f t="shared" si="52"/>
        <v>19.060523191605185</v>
      </c>
    </row>
    <row r="16" spans="5:58" x14ac:dyDescent="0.25">
      <c r="E16" s="29" t="str">
        <f t="shared" si="26"/>
        <v>162-160</v>
      </c>
      <c r="G16" s="17" t="s">
        <v>79</v>
      </c>
      <c r="H16" s="25" t="s">
        <v>80</v>
      </c>
      <c r="I16" s="26" t="s">
        <v>81</v>
      </c>
      <c r="J16" s="45"/>
      <c r="K16" s="46"/>
      <c r="L16" s="47"/>
      <c r="M16" s="45"/>
      <c r="N16" s="46"/>
      <c r="O16" s="47"/>
      <c r="P16" s="45"/>
      <c r="Q16" s="46"/>
      <c r="R16" s="47"/>
      <c r="S16" s="20">
        <f t="shared" si="27"/>
        <v>0</v>
      </c>
      <c r="T16" s="21">
        <f t="shared" si="28"/>
        <v>0</v>
      </c>
      <c r="U16" s="22">
        <f t="shared" si="29"/>
        <v>0</v>
      </c>
      <c r="V16" s="20">
        <f t="shared" si="30"/>
        <v>0</v>
      </c>
      <c r="W16" s="21">
        <f>SUMIF(I$3:I15,H16,W$3:W15)+V16</f>
        <v>0</v>
      </c>
      <c r="X16" s="21">
        <f t="array" ref="X16">MAX(--(I$3:I15=H16)*Z$3:Z15,10)</f>
        <v>10</v>
      </c>
      <c r="Y16" s="21">
        <f t="shared" si="31"/>
        <v>1.3365801887698485</v>
      </c>
      <c r="Z16" s="19">
        <f t="shared" si="32"/>
        <v>11.336580188769849</v>
      </c>
      <c r="AA16" s="32">
        <f t="shared" si="33"/>
        <v>0</v>
      </c>
      <c r="AB16" s="21">
        <f>SUMIF($I$3:$I15,$H16,AB$3:AB15)+AA16</f>
        <v>0</v>
      </c>
      <c r="AC16" s="21">
        <f t="shared" si="34"/>
        <v>76.805000323638325</v>
      </c>
      <c r="AD16" s="30">
        <f t="shared" si="35"/>
        <v>0</v>
      </c>
      <c r="AE16" s="18">
        <f t="shared" si="36"/>
        <v>0</v>
      </c>
      <c r="AF16" s="21">
        <f>SUMIF($I$3:$I15,$H16,AF$3:AF15)+AE16</f>
        <v>0</v>
      </c>
      <c r="AG16" s="16">
        <f t="shared" si="37"/>
        <v>104.1930342415708</v>
      </c>
      <c r="AH16" s="27">
        <f t="shared" si="38"/>
        <v>0</v>
      </c>
      <c r="AI16" s="18">
        <f t="shared" si="39"/>
        <v>0</v>
      </c>
      <c r="AJ16" s="21">
        <f>SUMIF($I$3:$I15,$H16,AJ$3:AJ15)+AI16</f>
        <v>0</v>
      </c>
      <c r="AK16" s="16">
        <f t="shared" si="40"/>
        <v>122.1417959950312</v>
      </c>
      <c r="AL16" s="27">
        <f t="shared" si="41"/>
        <v>0</v>
      </c>
      <c r="AM16" s="33">
        <f t="shared" si="42"/>
        <v>0</v>
      </c>
      <c r="AN16" s="15">
        <f>INDEX(PipeData,MATCH($E16,PipeData_FromToId,0),COLUMN(PipeData_InnerDiameter))*1000</f>
        <v>450</v>
      </c>
      <c r="AO16" s="14"/>
      <c r="AP16" s="14"/>
      <c r="AQ16" s="16">
        <f t="shared" si="43"/>
        <v>457.2</v>
      </c>
      <c r="AR16" s="41">
        <v>6.4999999999999997E-3</v>
      </c>
      <c r="AS16" s="16">
        <f t="shared" si="44"/>
        <v>239.79850493671353</v>
      </c>
      <c r="AT16" s="16">
        <f t="shared" si="45"/>
        <v>1.5077577247100928</v>
      </c>
      <c r="AU16" s="16">
        <f t="shared" si="3"/>
        <v>120.91434625873281</v>
      </c>
      <c r="AV16" s="16">
        <f t="shared" si="46"/>
        <v>239.79850493671353</v>
      </c>
      <c r="AW16" s="48">
        <f t="shared" si="47"/>
        <v>0</v>
      </c>
      <c r="AX16" s="35">
        <v>104.2</v>
      </c>
      <c r="AY16" s="36">
        <f t="shared" si="48"/>
        <v>94.939476808394815</v>
      </c>
      <c r="AZ16" s="36">
        <f t="shared" si="49"/>
        <v>94.482276808394815</v>
      </c>
      <c r="BA16" s="37">
        <f t="shared" si="50"/>
        <v>9.2605231916051878</v>
      </c>
      <c r="BB16" s="38">
        <v>115</v>
      </c>
      <c r="BC16" s="40"/>
      <c r="BD16" s="36">
        <f t="shared" si="8"/>
        <v>94.153533557713047</v>
      </c>
      <c r="BE16" s="36">
        <f t="shared" si="51"/>
        <v>93.696333557713047</v>
      </c>
      <c r="BF16" s="37">
        <f t="shared" si="52"/>
        <v>20.846466442286953</v>
      </c>
    </row>
    <row r="17" spans="5:58" x14ac:dyDescent="0.25">
      <c r="E17" s="29" t="str">
        <f t="shared" si="26"/>
        <v>160-118</v>
      </c>
      <c r="G17" s="17" t="s">
        <v>79</v>
      </c>
      <c r="H17" s="25" t="s">
        <v>81</v>
      </c>
      <c r="I17" s="26" t="s">
        <v>82</v>
      </c>
      <c r="J17" s="45"/>
      <c r="K17" s="46"/>
      <c r="L17" s="47"/>
      <c r="M17" s="45"/>
      <c r="N17" s="46"/>
      <c r="O17" s="47"/>
      <c r="P17" s="45"/>
      <c r="Q17" s="46"/>
      <c r="R17" s="47"/>
      <c r="S17" s="20">
        <f t="shared" si="27"/>
        <v>0</v>
      </c>
      <c r="T17" s="21">
        <f t="shared" si="28"/>
        <v>0</v>
      </c>
      <c r="U17" s="22">
        <f t="shared" si="29"/>
        <v>0</v>
      </c>
      <c r="V17" s="20">
        <f t="shared" si="30"/>
        <v>0</v>
      </c>
      <c r="W17" s="21">
        <f>SUMIF(I$3:I16,H17,W$3:W16)+V17</f>
        <v>0</v>
      </c>
      <c r="X17" s="21">
        <f t="array" ref="X17">MAX(--(I$3:I16=H17)*Z$3:Z16,10)</f>
        <v>11.336580188769849</v>
      </c>
      <c r="Y17" s="21">
        <f t="shared" si="31"/>
        <v>0.6455565778488277</v>
      </c>
      <c r="Z17" s="19">
        <f t="shared" si="32"/>
        <v>11.982136766618677</v>
      </c>
      <c r="AA17" s="32">
        <f t="shared" si="33"/>
        <v>0</v>
      </c>
      <c r="AB17" s="21">
        <f>SUMIF($I$3:$I16,$H17,AB$3:AB16)+AA17</f>
        <v>0</v>
      </c>
      <c r="AC17" s="21">
        <f t="shared" si="34"/>
        <v>72.027713520811005</v>
      </c>
      <c r="AD17" s="30">
        <f t="shared" si="35"/>
        <v>0</v>
      </c>
      <c r="AE17" s="18">
        <f t="shared" si="36"/>
        <v>0</v>
      </c>
      <c r="AF17" s="21">
        <f>SUMIF($I$3:$I16,$H17,AF$3:AF16)+AE17</f>
        <v>0</v>
      </c>
      <c r="AG17" s="16">
        <f t="shared" si="37"/>
        <v>97.626138469483081</v>
      </c>
      <c r="AH17" s="27">
        <f t="shared" si="38"/>
        <v>0</v>
      </c>
      <c r="AI17" s="18">
        <f t="shared" si="39"/>
        <v>0</v>
      </c>
      <c r="AJ17" s="21">
        <f>SUMIF($I$3:$I16,$H17,AJ$3:AJ16)+AI17</f>
        <v>0</v>
      </c>
      <c r="AK17" s="16">
        <f t="shared" si="40"/>
        <v>114.40787857235313</v>
      </c>
      <c r="AL17" s="27">
        <f t="shared" si="41"/>
        <v>0</v>
      </c>
      <c r="AM17" s="33">
        <f t="shared" si="42"/>
        <v>0</v>
      </c>
      <c r="AN17" s="15">
        <f>INDEX(PipeData,MATCH($E17,PipeData_FromToId,0),COLUMN(PipeData_InnerDiameter))*1000</f>
        <v>525</v>
      </c>
      <c r="AO17" s="14"/>
      <c r="AP17" s="14"/>
      <c r="AQ17" s="16">
        <f t="shared" si="43"/>
        <v>533.4</v>
      </c>
      <c r="AR17" s="41">
        <v>6.4999999999999997E-3</v>
      </c>
      <c r="AS17" s="16">
        <f t="shared" si="44"/>
        <v>361.71893495868818</v>
      </c>
      <c r="AT17" s="16">
        <f t="shared" si="45"/>
        <v>1.6709473090934714</v>
      </c>
      <c r="AU17" s="16">
        <f t="shared" si="3"/>
        <v>64.721461597445327</v>
      </c>
      <c r="AV17" s="16">
        <f t="shared" si="46"/>
        <v>361.71893495868818</v>
      </c>
      <c r="AW17" s="48">
        <f t="shared" si="47"/>
        <v>0</v>
      </c>
      <c r="AX17" s="35">
        <v>104.2</v>
      </c>
      <c r="AY17" s="36">
        <f t="shared" si="48"/>
        <v>94.153533557713047</v>
      </c>
      <c r="AZ17" s="36">
        <f t="shared" si="49"/>
        <v>93.620133557713046</v>
      </c>
      <c r="BA17" s="37">
        <f t="shared" si="50"/>
        <v>10.046466442286956</v>
      </c>
      <c r="BB17" s="38">
        <v>116</v>
      </c>
      <c r="BC17" s="40"/>
      <c r="BD17" s="36">
        <f t="shared" si="8"/>
        <v>93.732844057329658</v>
      </c>
      <c r="BE17" s="36">
        <f t="shared" si="51"/>
        <v>93.199444057329657</v>
      </c>
      <c r="BF17" s="37">
        <f t="shared" si="52"/>
        <v>22.267155942670342</v>
      </c>
    </row>
    <row r="18" spans="5:58" x14ac:dyDescent="0.25">
      <c r="E18" s="29" t="str">
        <f t="shared" si="26"/>
        <v>116-118</v>
      </c>
      <c r="G18" s="17" t="s">
        <v>77</v>
      </c>
      <c r="H18" s="25" t="s">
        <v>83</v>
      </c>
      <c r="I18" s="26" t="s">
        <v>82</v>
      </c>
      <c r="J18" s="45"/>
      <c r="K18" s="46"/>
      <c r="L18" s="47"/>
      <c r="M18" s="45"/>
      <c r="N18" s="46"/>
      <c r="O18" s="47"/>
      <c r="P18" s="45"/>
      <c r="Q18" s="46"/>
      <c r="R18" s="47"/>
      <c r="S18" s="20">
        <f t="shared" si="27"/>
        <v>0</v>
      </c>
      <c r="T18" s="21">
        <f t="shared" si="28"/>
        <v>0</v>
      </c>
      <c r="U18" s="22">
        <f t="shared" si="29"/>
        <v>0</v>
      </c>
      <c r="V18" s="20">
        <f t="shared" si="30"/>
        <v>0</v>
      </c>
      <c r="W18" s="21">
        <f>SUMIF(I$3:I17,H18,W$3:W17)+V18</f>
        <v>0</v>
      </c>
      <c r="X18" s="21">
        <f t="array" ref="X18">MAX(--(I$3:I17=H18)*Z$3:Z17,10)</f>
        <v>10</v>
      </c>
      <c r="Y18" s="21">
        <f t="shared" si="31"/>
        <v>1.0426495045917461</v>
      </c>
      <c r="Z18" s="19">
        <f t="shared" si="32"/>
        <v>11.042649504591747</v>
      </c>
      <c r="AA18" s="32">
        <f t="shared" si="33"/>
        <v>0</v>
      </c>
      <c r="AB18" s="21">
        <f>SUMIF($I$3:$I17,$H18,AB$3:AB17)+AA18</f>
        <v>0</v>
      </c>
      <c r="AC18" s="21">
        <f t="shared" si="34"/>
        <v>76.805000323638325</v>
      </c>
      <c r="AD18" s="30">
        <f t="shared" si="35"/>
        <v>0</v>
      </c>
      <c r="AE18" s="18">
        <f t="shared" si="36"/>
        <v>0</v>
      </c>
      <c r="AF18" s="21">
        <f>SUMIF($I$3:$I17,$H18,AF$3:AF17)+AE18</f>
        <v>0</v>
      </c>
      <c r="AG18" s="16">
        <f t="shared" si="37"/>
        <v>104.1930342415708</v>
      </c>
      <c r="AH18" s="27">
        <f t="shared" si="38"/>
        <v>0</v>
      </c>
      <c r="AI18" s="18">
        <f t="shared" si="39"/>
        <v>0</v>
      </c>
      <c r="AJ18" s="21">
        <f>SUMIF($I$3:$I17,$H18,AJ$3:AJ17)+AI18</f>
        <v>0</v>
      </c>
      <c r="AK18" s="16">
        <f t="shared" si="40"/>
        <v>122.1417959950312</v>
      </c>
      <c r="AL18" s="27">
        <f t="shared" si="41"/>
        <v>0</v>
      </c>
      <c r="AM18" s="33">
        <f t="shared" si="42"/>
        <v>0</v>
      </c>
      <c r="AN18" s="15">
        <f>INDEX(PipeData,MATCH($E18,PipeData_FromToId,0),COLUMN(PipeData_InnerDiameter))*1000</f>
        <v>375</v>
      </c>
      <c r="AO18" s="14"/>
      <c r="AP18" s="14"/>
      <c r="AQ18" s="16">
        <f t="shared" si="43"/>
        <v>381</v>
      </c>
      <c r="AR18" s="41">
        <v>3.5000000000000001E-3</v>
      </c>
      <c r="AS18" s="16">
        <f t="shared" si="44"/>
        <v>108.21160174105906</v>
      </c>
      <c r="AT18" s="16">
        <f t="shared" si="45"/>
        <v>0.9797638438104801</v>
      </c>
      <c r="AU18" s="16">
        <f t="shared" si="3"/>
        <v>61.29301718195412</v>
      </c>
      <c r="AV18" s="16">
        <f t="shared" si="46"/>
        <v>108.21160174105906</v>
      </c>
      <c r="AW18" s="48">
        <f t="shared" si="47"/>
        <v>0</v>
      </c>
      <c r="AX18" s="35">
        <v>104.2</v>
      </c>
      <c r="AY18" s="36">
        <f t="shared" si="48"/>
        <v>93.732844057329658</v>
      </c>
      <c r="AZ18" s="36">
        <f t="shared" si="49"/>
        <v>93.351844057329657</v>
      </c>
      <c r="BA18" s="37">
        <f t="shared" si="50"/>
        <v>10.467155942670345</v>
      </c>
      <c r="BB18" s="38">
        <v>117</v>
      </c>
      <c r="BC18" s="40"/>
      <c r="BD18" s="36">
        <f t="shared" si="8"/>
        <v>93.518318497192823</v>
      </c>
      <c r="BE18" s="36">
        <f t="shared" si="51"/>
        <v>93.137318497192823</v>
      </c>
      <c r="BF18" s="37">
        <f t="shared" si="52"/>
        <v>23.481681502807177</v>
      </c>
    </row>
    <row r="19" spans="5:58" x14ac:dyDescent="0.25">
      <c r="E19" s="29" t="str">
        <f t="shared" si="26"/>
        <v>118-119</v>
      </c>
      <c r="G19" s="17" t="s">
        <v>77</v>
      </c>
      <c r="H19" s="25" t="s">
        <v>82</v>
      </c>
      <c r="I19" s="26" t="s">
        <v>84</v>
      </c>
      <c r="J19" s="45"/>
      <c r="K19" s="46"/>
      <c r="L19" s="47"/>
      <c r="M19" s="45"/>
      <c r="N19" s="46"/>
      <c r="O19" s="47"/>
      <c r="P19" s="45"/>
      <c r="Q19" s="46"/>
      <c r="R19" s="47"/>
      <c r="S19" s="20">
        <f t="shared" si="27"/>
        <v>0</v>
      </c>
      <c r="T19" s="21">
        <f t="shared" si="28"/>
        <v>0</v>
      </c>
      <c r="U19" s="22">
        <f t="shared" si="29"/>
        <v>0</v>
      </c>
      <c r="V19" s="20">
        <f t="shared" si="30"/>
        <v>0</v>
      </c>
      <c r="W19" s="21">
        <f>SUMIF(I$3:I18,H19,W$3:W18)+V19</f>
        <v>0</v>
      </c>
      <c r="X19" s="21">
        <f t="array" ref="X19">MAX(--(I$3:I18=H19)*Z$3:Z18,10)</f>
        <v>11.982136766618677</v>
      </c>
      <c r="Y19" s="21">
        <f t="shared" si="31"/>
        <v>0.6094411915649085</v>
      </c>
      <c r="Z19" s="19">
        <f t="shared" si="32"/>
        <v>12.591577958183585</v>
      </c>
      <c r="AA19" s="32">
        <f t="shared" si="33"/>
        <v>0</v>
      </c>
      <c r="AB19" s="21">
        <f>SUMIF($I$3:$I18,$H19,AB$3:AB18)+AA19</f>
        <v>0</v>
      </c>
      <c r="AC19" s="21">
        <f t="shared" si="34"/>
        <v>69.949063491322818</v>
      </c>
      <c r="AD19" s="30">
        <f t="shared" si="35"/>
        <v>0</v>
      </c>
      <c r="AE19" s="18">
        <f t="shared" si="36"/>
        <v>0</v>
      </c>
      <c r="AF19" s="21">
        <f>SUMIF($I$3:$I18,$H19,AF$3:AF18)+AE19</f>
        <v>0</v>
      </c>
      <c r="AG19" s="16">
        <f t="shared" si="37"/>
        <v>94.772036423895784</v>
      </c>
      <c r="AH19" s="27">
        <f t="shared" si="38"/>
        <v>0</v>
      </c>
      <c r="AI19" s="18">
        <f t="shared" si="39"/>
        <v>0</v>
      </c>
      <c r="AJ19" s="21">
        <f>SUMIF($I$3:$I18,$H19,AJ$3:AJ18)+AI19</f>
        <v>0</v>
      </c>
      <c r="AK19" s="16">
        <f t="shared" si="40"/>
        <v>111.04777507979152</v>
      </c>
      <c r="AL19" s="27">
        <f t="shared" si="41"/>
        <v>0</v>
      </c>
      <c r="AM19" s="33">
        <f t="shared" si="42"/>
        <v>0</v>
      </c>
      <c r="AN19" s="15">
        <f>INDEX(PipeData,MATCH($E19,PipeData_FromToId,0),COLUMN(PipeData_InnerDiameter))*1000</f>
        <v>600</v>
      </c>
      <c r="AO19" s="14"/>
      <c r="AP19" s="14"/>
      <c r="AQ19" s="16">
        <f t="shared" si="43"/>
        <v>609.59999999999991</v>
      </c>
      <c r="AR19" s="41">
        <v>1.5E-3</v>
      </c>
      <c r="AS19" s="16">
        <f t="shared" si="44"/>
        <v>248.087787840651</v>
      </c>
      <c r="AT19" s="16">
        <f t="shared" si="45"/>
        <v>0.87743106123495596</v>
      </c>
      <c r="AU19" s="16">
        <f t="shared" si="3"/>
        <v>32.084557888505628</v>
      </c>
      <c r="AV19" s="16">
        <f t="shared" si="46"/>
        <v>248.087787840651</v>
      </c>
      <c r="AW19" s="48">
        <f t="shared" si="47"/>
        <v>0</v>
      </c>
      <c r="AX19" s="35">
        <v>104.2</v>
      </c>
      <c r="AY19" s="36">
        <f t="shared" si="48"/>
        <v>93.518318497192823</v>
      </c>
      <c r="AZ19" s="36">
        <f t="shared" si="49"/>
        <v>92.908718497192822</v>
      </c>
      <c r="BA19" s="37">
        <f t="shared" si="50"/>
        <v>10.68168150280718</v>
      </c>
      <c r="BB19" s="38">
        <v>118</v>
      </c>
      <c r="BC19" s="40"/>
      <c r="BD19" s="36">
        <f t="shared" si="8"/>
        <v>93.470191660360058</v>
      </c>
      <c r="BE19" s="36">
        <f t="shared" si="51"/>
        <v>92.860591660360058</v>
      </c>
      <c r="BF19" s="37">
        <f t="shared" si="52"/>
        <v>24.529808339639942</v>
      </c>
    </row>
    <row r="20" spans="5:58" x14ac:dyDescent="0.25">
      <c r="E20" s="29" t="str">
        <f t="shared" si="26"/>
        <v>119-120</v>
      </c>
      <c r="G20" s="17" t="s">
        <v>77</v>
      </c>
      <c r="H20" s="25" t="s">
        <v>84</v>
      </c>
      <c r="I20" s="26" t="s">
        <v>85</v>
      </c>
      <c r="J20" s="45"/>
      <c r="K20" s="46"/>
      <c r="L20" s="47"/>
      <c r="M20" s="45"/>
      <c r="N20" s="46"/>
      <c r="O20" s="47"/>
      <c r="P20" s="45"/>
      <c r="Q20" s="46"/>
      <c r="R20" s="47"/>
      <c r="S20" s="20">
        <f t="shared" si="27"/>
        <v>0</v>
      </c>
      <c r="T20" s="21">
        <f t="shared" si="28"/>
        <v>0</v>
      </c>
      <c r="U20" s="22">
        <f t="shared" si="29"/>
        <v>0</v>
      </c>
      <c r="V20" s="20">
        <f t="shared" si="30"/>
        <v>0</v>
      </c>
      <c r="W20" s="21">
        <f>SUMIF(I$3:I19,H20,W$3:W19)+V20</f>
        <v>0</v>
      </c>
      <c r="X20" s="21">
        <f t="array" ref="X20">MAX(--(I$3:I19=H20)*Z$3:Z19,10)</f>
        <v>12.591577958183585</v>
      </c>
      <c r="Y20" s="21">
        <f t="shared" si="31"/>
        <v>0.45071593119710518</v>
      </c>
      <c r="Z20" s="19">
        <f t="shared" si="32"/>
        <v>13.042293889380691</v>
      </c>
      <c r="AA20" s="32">
        <f t="shared" si="33"/>
        <v>0</v>
      </c>
      <c r="AB20" s="21">
        <f>SUMIF($I$3:$I19,$H20,AB$3:AB19)+AA20</f>
        <v>0</v>
      </c>
      <c r="AC20" s="21">
        <f t="shared" si="34"/>
        <v>68.105695086695917</v>
      </c>
      <c r="AD20" s="30">
        <f t="shared" si="35"/>
        <v>0</v>
      </c>
      <c r="AE20" s="18">
        <f t="shared" si="36"/>
        <v>0</v>
      </c>
      <c r="AF20" s="21">
        <f>SUMIF($I$3:$I19,$H20,AF$3:AF19)+AE20</f>
        <v>0</v>
      </c>
      <c r="AG20" s="16">
        <f t="shared" si="37"/>
        <v>92.242625431484456</v>
      </c>
      <c r="AH20" s="27">
        <f t="shared" si="38"/>
        <v>0</v>
      </c>
      <c r="AI20" s="18">
        <f t="shared" si="39"/>
        <v>0</v>
      </c>
      <c r="AJ20" s="21">
        <f>SUMIF($I$3:$I19,$H20,AJ$3:AJ19)+AI20</f>
        <v>0</v>
      </c>
      <c r="AK20" s="16">
        <f t="shared" si="40"/>
        <v>108.07054341178376</v>
      </c>
      <c r="AL20" s="27">
        <f t="shared" si="41"/>
        <v>0</v>
      </c>
      <c r="AM20" s="33">
        <f t="shared" si="42"/>
        <v>0</v>
      </c>
      <c r="AN20" s="15">
        <f>INDEX(PipeData,MATCH($E20,PipeData_FromToId,0),COLUMN(PipeData_InnerDiameter))*1000</f>
        <v>750</v>
      </c>
      <c r="AO20" s="14"/>
      <c r="AP20" s="14"/>
      <c r="AQ20" s="16">
        <f t="shared" si="43"/>
        <v>762</v>
      </c>
      <c r="AR20" s="41">
        <v>3.5000000000000001E-3</v>
      </c>
      <c r="AS20" s="16">
        <f t="shared" si="44"/>
        <v>687.10084175568386</v>
      </c>
      <c r="AT20" s="16">
        <f t="shared" si="45"/>
        <v>1.5552781563451625</v>
      </c>
      <c r="AU20" s="16">
        <f t="shared" si="3"/>
        <v>42.059318550457611</v>
      </c>
      <c r="AV20" s="16">
        <f t="shared" si="46"/>
        <v>687.10084175568386</v>
      </c>
      <c r="AW20" s="48">
        <f t="shared" si="47"/>
        <v>0</v>
      </c>
      <c r="AX20" s="35">
        <v>104.2</v>
      </c>
      <c r="AY20" s="36">
        <f t="shared" si="48"/>
        <v>93.470191660360058</v>
      </c>
      <c r="AZ20" s="36">
        <f t="shared" si="49"/>
        <v>92.708191660360058</v>
      </c>
      <c r="BA20" s="37">
        <f t="shared" si="50"/>
        <v>10.729808339639945</v>
      </c>
      <c r="BB20" s="38">
        <v>119</v>
      </c>
      <c r="BC20" s="40"/>
      <c r="BD20" s="36">
        <f t="shared" si="8"/>
        <v>93.322984045433458</v>
      </c>
      <c r="BE20" s="36">
        <f t="shared" si="51"/>
        <v>92.560984045433457</v>
      </c>
      <c r="BF20" s="37">
        <f t="shared" si="52"/>
        <v>25.677015954566542</v>
      </c>
    </row>
    <row r="21" spans="5:58" x14ac:dyDescent="0.25">
      <c r="E21" s="29" t="str">
        <f t="shared" si="26"/>
        <v>161-173</v>
      </c>
      <c r="G21" s="17" t="s">
        <v>87</v>
      </c>
      <c r="H21" s="25" t="s">
        <v>89</v>
      </c>
      <c r="I21" s="26" t="s">
        <v>90</v>
      </c>
      <c r="J21" s="45"/>
      <c r="K21" s="46"/>
      <c r="L21" s="47"/>
      <c r="M21" s="45"/>
      <c r="N21" s="46"/>
      <c r="O21" s="47"/>
      <c r="P21" s="45"/>
      <c r="Q21" s="46"/>
      <c r="R21" s="47"/>
      <c r="S21" s="20">
        <f t="shared" si="27"/>
        <v>0</v>
      </c>
      <c r="T21" s="21">
        <f t="shared" si="28"/>
        <v>0</v>
      </c>
      <c r="U21" s="22">
        <f t="shared" si="29"/>
        <v>0</v>
      </c>
      <c r="V21" s="20">
        <f t="shared" si="30"/>
        <v>0</v>
      </c>
      <c r="W21" s="21">
        <f>SUMIF(I$3:I20,H21,W$3:W20)+V21</f>
        <v>0</v>
      </c>
      <c r="X21" s="21">
        <f t="array" ref="X21">MAX(--(I$3:I20=H21)*Z$3:Z20,10)</f>
        <v>10</v>
      </c>
      <c r="Y21" s="21">
        <f t="shared" si="31"/>
        <v>1.2878028499043475</v>
      </c>
      <c r="Z21" s="19">
        <f t="shared" si="32"/>
        <v>11.287802849904347</v>
      </c>
      <c r="AA21" s="32">
        <f t="shared" si="33"/>
        <v>0</v>
      </c>
      <c r="AB21" s="21">
        <f>SUMIF($I$3:$I20,$H21,AB$3:AB20)+AA21</f>
        <v>0</v>
      </c>
      <c r="AC21" s="21">
        <f t="shared" si="34"/>
        <v>76.805000323638325</v>
      </c>
      <c r="AD21" s="30">
        <f t="shared" si="35"/>
        <v>0</v>
      </c>
      <c r="AE21" s="18">
        <f t="shared" si="36"/>
        <v>0</v>
      </c>
      <c r="AF21" s="21">
        <f>SUMIF($I$3:$I20,$H21,AF$3:AF20)+AE21</f>
        <v>0</v>
      </c>
      <c r="AG21" s="16">
        <f t="shared" si="37"/>
        <v>104.1930342415708</v>
      </c>
      <c r="AH21" s="27">
        <f t="shared" si="38"/>
        <v>0</v>
      </c>
      <c r="AI21" s="18">
        <f t="shared" si="39"/>
        <v>0</v>
      </c>
      <c r="AJ21" s="21">
        <f>SUMIF($I$3:$I20,$H21,AJ$3:AJ20)+AI21</f>
        <v>0</v>
      </c>
      <c r="AK21" s="16">
        <f t="shared" si="40"/>
        <v>122.1417959950312</v>
      </c>
      <c r="AL21" s="27">
        <f t="shared" si="41"/>
        <v>0</v>
      </c>
      <c r="AM21" s="33">
        <f t="shared" si="42"/>
        <v>0</v>
      </c>
      <c r="AN21" s="15">
        <f>INDEX(PipeData,MATCH($E21,PipeData_FromToId,0),COLUMN(PipeData_InnerDiameter))*1000</f>
        <v>300</v>
      </c>
      <c r="AO21" s="14"/>
      <c r="AP21" s="14"/>
      <c r="AQ21" s="16">
        <f t="shared" si="43"/>
        <v>304.79999999999995</v>
      </c>
      <c r="AR21" s="41">
        <v>3.5000000000000001E-3</v>
      </c>
      <c r="AS21" s="16">
        <f t="shared" si="44"/>
        <v>59.682516135642125</v>
      </c>
      <c r="AT21" s="16">
        <f t="shared" si="45"/>
        <v>0.84433488525771083</v>
      </c>
      <c r="AU21" s="16">
        <f t="shared" si="3"/>
        <v>65.240212290512403</v>
      </c>
      <c r="AV21" s="16">
        <f t="shared" si="46"/>
        <v>59.682516135642125</v>
      </c>
      <c r="AW21" s="48">
        <f t="shared" si="47"/>
        <v>0</v>
      </c>
      <c r="AX21" s="35">
        <v>104.2</v>
      </c>
      <c r="AY21" s="36">
        <f t="shared" si="48"/>
        <v>93.322984045433458</v>
      </c>
      <c r="AZ21" s="36">
        <f t="shared" si="49"/>
        <v>93.018184045433458</v>
      </c>
      <c r="BA21" s="37">
        <f t="shared" si="50"/>
        <v>10.877015954566545</v>
      </c>
      <c r="BB21" s="38">
        <v>120</v>
      </c>
      <c r="BC21" s="40"/>
      <c r="BD21" s="36">
        <f t="shared" si="8"/>
        <v>93.094643302416671</v>
      </c>
      <c r="BE21" s="36">
        <f t="shared" si="51"/>
        <v>92.789843302416671</v>
      </c>
      <c r="BF21" s="37">
        <f t="shared" si="52"/>
        <v>26.905356697583329</v>
      </c>
    </row>
    <row r="22" spans="5:58" x14ac:dyDescent="0.25">
      <c r="E22" s="29" t="str">
        <f t="shared" si="26"/>
        <v>172-173</v>
      </c>
      <c r="G22" s="17" t="s">
        <v>87</v>
      </c>
      <c r="H22" s="25" t="s">
        <v>88</v>
      </c>
      <c r="I22" s="26" t="s">
        <v>90</v>
      </c>
      <c r="J22" s="45"/>
      <c r="K22" s="46"/>
      <c r="L22" s="47"/>
      <c r="M22" s="45"/>
      <c r="N22" s="46"/>
      <c r="O22" s="47"/>
      <c r="P22" s="45"/>
      <c r="Q22" s="46"/>
      <c r="R22" s="47"/>
      <c r="S22" s="20">
        <f t="shared" si="27"/>
        <v>0</v>
      </c>
      <c r="T22" s="21">
        <f t="shared" si="28"/>
        <v>0</v>
      </c>
      <c r="U22" s="22">
        <f t="shared" si="29"/>
        <v>0</v>
      </c>
      <c r="V22" s="20">
        <f t="shared" si="30"/>
        <v>0</v>
      </c>
      <c r="W22" s="21">
        <f>SUMIF(I$3:I21,H22,W$3:W21)+V22</f>
        <v>0</v>
      </c>
      <c r="X22" s="21">
        <f t="array" ref="X22">MAX(--(I$3:I21=H22)*Z$3:Z21,10)</f>
        <v>10</v>
      </c>
      <c r="Y22" s="21">
        <f t="shared" si="31"/>
        <v>0.85161059386023297</v>
      </c>
      <c r="Z22" s="19">
        <f t="shared" si="32"/>
        <v>10.851610593860233</v>
      </c>
      <c r="AA22" s="32">
        <f t="shared" si="33"/>
        <v>0</v>
      </c>
      <c r="AB22" s="21">
        <f>SUMIF($I$3:$I21,$H22,AB$3:AB21)+AA22</f>
        <v>0</v>
      </c>
      <c r="AC22" s="21">
        <f t="shared" si="34"/>
        <v>76.805000323638325</v>
      </c>
      <c r="AD22" s="30">
        <f t="shared" si="35"/>
        <v>0</v>
      </c>
      <c r="AE22" s="18">
        <f t="shared" si="36"/>
        <v>0</v>
      </c>
      <c r="AF22" s="21">
        <f>SUMIF($I$3:$I21,$H22,AF$3:AF21)+AE22</f>
        <v>0</v>
      </c>
      <c r="AG22" s="16">
        <f t="shared" si="37"/>
        <v>104.1930342415708</v>
      </c>
      <c r="AH22" s="27">
        <f t="shared" si="38"/>
        <v>0</v>
      </c>
      <c r="AI22" s="18">
        <f t="shared" si="39"/>
        <v>0</v>
      </c>
      <c r="AJ22" s="21">
        <f>SUMIF($I$3:$I21,$H22,AJ$3:AJ21)+AI22</f>
        <v>0</v>
      </c>
      <c r="AK22" s="16">
        <f t="shared" si="40"/>
        <v>122.1417959950312</v>
      </c>
      <c r="AL22" s="27">
        <f t="shared" si="41"/>
        <v>0</v>
      </c>
      <c r="AM22" s="33">
        <f t="shared" si="42"/>
        <v>0</v>
      </c>
      <c r="AN22" s="15">
        <f>INDEX(PipeData,MATCH($E22,PipeData_FromToId,0),COLUMN(PipeData_InnerDiameter))*1000</f>
        <v>375</v>
      </c>
      <c r="AO22" s="14"/>
      <c r="AP22" s="14"/>
      <c r="AQ22" s="16">
        <f t="shared" si="43"/>
        <v>381</v>
      </c>
      <c r="AR22" s="41">
        <v>6.4999999999999997E-3</v>
      </c>
      <c r="AS22" s="16">
        <f t="shared" si="44"/>
        <v>147.46755564130635</v>
      </c>
      <c r="AT22" s="16">
        <f t="shared" si="45"/>
        <v>1.3351930553453808</v>
      </c>
      <c r="AU22" s="16">
        <f t="shared" si="3"/>
        <v>68.223873046844318</v>
      </c>
      <c r="AV22" s="16">
        <f t="shared" si="46"/>
        <v>147.46755564130635</v>
      </c>
      <c r="AW22" s="48">
        <f t="shared" si="47"/>
        <v>0</v>
      </c>
      <c r="AX22" s="35">
        <v>104.2</v>
      </c>
      <c r="AY22" s="36">
        <f t="shared" si="48"/>
        <v>93.094643302416671</v>
      </c>
      <c r="AZ22" s="36">
        <f t="shared" si="49"/>
        <v>92.713643302416671</v>
      </c>
      <c r="BA22" s="37">
        <f t="shared" si="50"/>
        <v>11.105356697583332</v>
      </c>
      <c r="BB22" s="38">
        <v>121</v>
      </c>
      <c r="BC22" s="40"/>
      <c r="BD22" s="36">
        <f t="shared" si="8"/>
        <v>92.651188127612187</v>
      </c>
      <c r="BE22" s="36">
        <f t="shared" si="51"/>
        <v>92.270188127612187</v>
      </c>
      <c r="BF22" s="37">
        <f t="shared" si="52"/>
        <v>28.348811872387813</v>
      </c>
    </row>
    <row r="23" spans="5:58" x14ac:dyDescent="0.25">
      <c r="E23" s="29" t="str">
        <f t="shared" si="26"/>
        <v>173-120</v>
      </c>
      <c r="G23" s="17" t="s">
        <v>91</v>
      </c>
      <c r="H23" s="25" t="s">
        <v>90</v>
      </c>
      <c r="I23" s="26" t="s">
        <v>85</v>
      </c>
      <c r="J23" s="45"/>
      <c r="K23" s="46"/>
      <c r="L23" s="47"/>
      <c r="M23" s="45"/>
      <c r="N23" s="46"/>
      <c r="O23" s="47"/>
      <c r="P23" s="45"/>
      <c r="Q23" s="46"/>
      <c r="R23" s="47"/>
      <c r="S23" s="20">
        <f t="shared" si="27"/>
        <v>0</v>
      </c>
      <c r="T23" s="21">
        <f t="shared" si="28"/>
        <v>0</v>
      </c>
      <c r="U23" s="22">
        <f t="shared" si="29"/>
        <v>0</v>
      </c>
      <c r="V23" s="20">
        <f t="shared" si="30"/>
        <v>0</v>
      </c>
      <c r="W23" s="21">
        <f>SUMIF(I$3:I22,H23,W$3:W22)+V23</f>
        <v>0</v>
      </c>
      <c r="X23" s="21">
        <f t="array" ref="X23">MAX(--(I$3:I22=H23)*Z$3:Z22,10)</f>
        <v>11.287802849904347</v>
      </c>
      <c r="Y23" s="21">
        <f t="shared" si="31"/>
        <v>1.6343376161128709</v>
      </c>
      <c r="Z23" s="19">
        <f t="shared" si="32"/>
        <v>12.922140466017218</v>
      </c>
      <c r="AA23" s="32">
        <f t="shared" si="33"/>
        <v>0</v>
      </c>
      <c r="AB23" s="21">
        <f>SUMIF($I$3:$I22,$H23,AB$3:AB22)+AA23</f>
        <v>0</v>
      </c>
      <c r="AC23" s="21">
        <f t="shared" si="34"/>
        <v>72.190409703907648</v>
      </c>
      <c r="AD23" s="30">
        <f t="shared" si="35"/>
        <v>0</v>
      </c>
      <c r="AE23" s="18">
        <f t="shared" si="36"/>
        <v>0</v>
      </c>
      <c r="AF23" s="21">
        <f>SUMIF($I$3:$I22,$H23,AF$3:AF22)+AE23</f>
        <v>0</v>
      </c>
      <c r="AG23" s="16">
        <f t="shared" si="37"/>
        <v>97.849611912406985</v>
      </c>
      <c r="AH23" s="27">
        <f t="shared" si="38"/>
        <v>0</v>
      </c>
      <c r="AI23" s="18">
        <f t="shared" si="39"/>
        <v>0</v>
      </c>
      <c r="AJ23" s="21">
        <f>SUMIF($I$3:$I22,$H23,AJ$3:AJ22)+AI23</f>
        <v>0</v>
      </c>
      <c r="AK23" s="16">
        <f t="shared" si="40"/>
        <v>114.67100247640465</v>
      </c>
      <c r="AL23" s="27">
        <f t="shared" si="41"/>
        <v>0</v>
      </c>
      <c r="AM23" s="33">
        <f t="shared" si="42"/>
        <v>0</v>
      </c>
      <c r="AN23" s="15">
        <f>INDEX(PipeData,MATCH($E23,PipeData_FromToId,0),COLUMN(PipeData_InnerDiameter))*1000</f>
        <v>525</v>
      </c>
      <c r="AO23" s="14"/>
      <c r="AP23" s="14"/>
      <c r="AQ23" s="16">
        <f t="shared" si="43"/>
        <v>533.4</v>
      </c>
      <c r="AR23" s="41">
        <v>3.5000000000000001E-3</v>
      </c>
      <c r="AS23" s="16">
        <f t="shared" si="44"/>
        <v>265.42913227067623</v>
      </c>
      <c r="AT23" s="16">
        <f t="shared" si="45"/>
        <v>1.2261401089587851</v>
      </c>
      <c r="AU23" s="16">
        <f t="shared" si="3"/>
        <v>120.2356141617646</v>
      </c>
      <c r="AV23" s="16">
        <f t="shared" si="46"/>
        <v>265.42913227067623</v>
      </c>
      <c r="AW23" s="48">
        <f t="shared" si="47"/>
        <v>0</v>
      </c>
      <c r="AX23" s="35">
        <v>104.2</v>
      </c>
      <c r="AY23" s="36">
        <f t="shared" si="48"/>
        <v>92.651188127612187</v>
      </c>
      <c r="AZ23" s="36">
        <f t="shared" si="49"/>
        <v>92.117788127612187</v>
      </c>
      <c r="BA23" s="37">
        <f t="shared" si="50"/>
        <v>11.548811872387816</v>
      </c>
      <c r="BB23" s="38">
        <v>122</v>
      </c>
      <c r="BC23" s="40"/>
      <c r="BD23" s="36">
        <f t="shared" si="8"/>
        <v>92.230363478046016</v>
      </c>
      <c r="BE23" s="36">
        <f t="shared" si="51"/>
        <v>91.696963478046015</v>
      </c>
      <c r="BF23" s="37">
        <f t="shared" si="52"/>
        <v>29.769636521953984</v>
      </c>
    </row>
    <row r="24" spans="5:58" x14ac:dyDescent="0.25">
      <c r="E24" s="29" t="str">
        <f t="shared" si="26"/>
        <v>120-121</v>
      </c>
      <c r="G24" s="17" t="s">
        <v>77</v>
      </c>
      <c r="H24" s="25" t="s">
        <v>85</v>
      </c>
      <c r="I24" s="26" t="s">
        <v>86</v>
      </c>
      <c r="J24" s="45"/>
      <c r="K24" s="46"/>
      <c r="L24" s="47"/>
      <c r="M24" s="45"/>
      <c r="N24" s="46"/>
      <c r="O24" s="47"/>
      <c r="P24" s="45"/>
      <c r="Q24" s="46"/>
      <c r="R24" s="47"/>
      <c r="S24" s="20">
        <f t="shared" si="27"/>
        <v>0</v>
      </c>
      <c r="T24" s="21">
        <f t="shared" si="28"/>
        <v>0</v>
      </c>
      <c r="U24" s="22">
        <f t="shared" si="29"/>
        <v>0</v>
      </c>
      <c r="V24" s="20">
        <f t="shared" si="30"/>
        <v>0</v>
      </c>
      <c r="W24" s="21">
        <f>SUMIF(I$3:I23,H24,W$3:W23)+V24</f>
        <v>0</v>
      </c>
      <c r="X24" s="21">
        <f t="array" ref="X24">MAX(--(I$3:I23=H24)*Z$3:Z23,10)</f>
        <v>13.042293889380691</v>
      </c>
      <c r="Y24" s="21">
        <f t="shared" si="31"/>
        <v>0.82900799739152642</v>
      </c>
      <c r="Z24" s="19">
        <f t="shared" si="32"/>
        <v>13.871301886772217</v>
      </c>
      <c r="AA24" s="32">
        <f t="shared" si="33"/>
        <v>0</v>
      </c>
      <c r="AB24" s="21">
        <f>SUMIF($I$3:$I23,$H24,AB$3:AB23)+AA24</f>
        <v>0</v>
      </c>
      <c r="AC24" s="21">
        <f t="shared" si="34"/>
        <v>66.810570550648009</v>
      </c>
      <c r="AD24" s="30">
        <f t="shared" si="35"/>
        <v>0</v>
      </c>
      <c r="AE24" s="18">
        <f t="shared" si="36"/>
        <v>0</v>
      </c>
      <c r="AF24" s="21">
        <f>SUMIF($I$3:$I23,$H24,AF$3:AF23)+AE24</f>
        <v>0</v>
      </c>
      <c r="AG24" s="16">
        <f t="shared" si="37"/>
        <v>90.466417105576753</v>
      </c>
      <c r="AH24" s="27">
        <f t="shared" si="38"/>
        <v>0</v>
      </c>
      <c r="AI24" s="18">
        <f t="shared" si="39"/>
        <v>0</v>
      </c>
      <c r="AJ24" s="21">
        <f>SUMIF($I$3:$I23,$H24,AJ$3:AJ23)+AI24</f>
        <v>0</v>
      </c>
      <c r="AK24" s="16">
        <f t="shared" si="40"/>
        <v>105.98021336921315</v>
      </c>
      <c r="AL24" s="27">
        <f t="shared" si="41"/>
        <v>0</v>
      </c>
      <c r="AM24" s="33">
        <f t="shared" si="42"/>
        <v>0</v>
      </c>
      <c r="AN24" s="15">
        <f>INDEX(PipeData,MATCH($E24,PipeData_FromToId,0),COLUMN(PipeData_InnerDiameter))*1000</f>
        <v>750</v>
      </c>
      <c r="AO24" s="14"/>
      <c r="AP24" s="14"/>
      <c r="AQ24" s="16">
        <f t="shared" si="43"/>
        <v>762</v>
      </c>
      <c r="AR24" s="41">
        <v>3.5000000000000001E-3</v>
      </c>
      <c r="AS24" s="16">
        <f t="shared" si="44"/>
        <v>687.10084175568386</v>
      </c>
      <c r="AT24" s="16">
        <f t="shared" si="45"/>
        <v>1.5552781563451625</v>
      </c>
      <c r="AU24" s="16">
        <f t="shared" si="3"/>
        <v>77.360281786709308</v>
      </c>
      <c r="AV24" s="16">
        <f t="shared" si="46"/>
        <v>687.10084175568386</v>
      </c>
      <c r="AW24" s="48">
        <f t="shared" si="47"/>
        <v>0</v>
      </c>
      <c r="AX24" s="35">
        <v>104.2</v>
      </c>
      <c r="AY24" s="36">
        <f t="shared" si="48"/>
        <v>92.230363478046016</v>
      </c>
      <c r="AZ24" s="36">
        <f t="shared" si="49"/>
        <v>91.468363478046015</v>
      </c>
      <c r="BA24" s="37">
        <f t="shared" si="50"/>
        <v>11.969636521953987</v>
      </c>
      <c r="BB24" s="38">
        <v>123</v>
      </c>
      <c r="BC24" s="40"/>
      <c r="BD24" s="36">
        <f t="shared" si="8"/>
        <v>91.959602491792538</v>
      </c>
      <c r="BE24" s="36">
        <f t="shared" si="51"/>
        <v>91.197602491792537</v>
      </c>
      <c r="BF24" s="37">
        <f t="shared" si="52"/>
        <v>31.040397508207462</v>
      </c>
    </row>
    <row r="25" spans="5:58" x14ac:dyDescent="0.25">
      <c r="E25" s="29" t="str">
        <f t="shared" si="26"/>
        <v>172-171</v>
      </c>
      <c r="G25" s="17" t="s">
        <v>87</v>
      </c>
      <c r="H25" s="25" t="s">
        <v>88</v>
      </c>
      <c r="I25" s="26" t="s">
        <v>92</v>
      </c>
      <c r="J25" s="45"/>
      <c r="K25" s="46"/>
      <c r="L25" s="47"/>
      <c r="M25" s="45"/>
      <c r="N25" s="46"/>
      <c r="O25" s="47"/>
      <c r="P25" s="45"/>
      <c r="Q25" s="46"/>
      <c r="R25" s="47"/>
      <c r="S25" s="20">
        <f t="shared" si="27"/>
        <v>0</v>
      </c>
      <c r="T25" s="21">
        <f t="shared" si="28"/>
        <v>0</v>
      </c>
      <c r="U25" s="22">
        <f t="shared" si="29"/>
        <v>0</v>
      </c>
      <c r="V25" s="20">
        <f t="shared" si="30"/>
        <v>0</v>
      </c>
      <c r="W25" s="21">
        <f>SUMIF(I$3:I24,H25,W$3:W24)+V25</f>
        <v>0</v>
      </c>
      <c r="X25" s="21">
        <f t="array" ref="X25">MAX(--(I$3:I24=H25)*Z$3:Z24,10)</f>
        <v>10</v>
      </c>
      <c r="Y25" s="21">
        <f t="shared" si="31"/>
        <v>0.22912372924644958</v>
      </c>
      <c r="Z25" s="19">
        <f t="shared" si="32"/>
        <v>10.229123729246449</v>
      </c>
      <c r="AA25" s="32">
        <f t="shared" si="33"/>
        <v>0</v>
      </c>
      <c r="AB25" s="21">
        <f>SUMIF($I$3:$I24,$H25,AB$3:AB24)+AA25</f>
        <v>0</v>
      </c>
      <c r="AC25" s="21">
        <f t="shared" si="34"/>
        <v>76.805000323638325</v>
      </c>
      <c r="AD25" s="30">
        <f t="shared" si="35"/>
        <v>0</v>
      </c>
      <c r="AE25" s="18">
        <f t="shared" si="36"/>
        <v>0</v>
      </c>
      <c r="AF25" s="21">
        <f>SUMIF($I$3:$I24,$H25,AF$3:AF24)+AE25</f>
        <v>0</v>
      </c>
      <c r="AG25" s="16">
        <f t="shared" si="37"/>
        <v>104.1930342415708</v>
      </c>
      <c r="AH25" s="27">
        <f t="shared" si="38"/>
        <v>0</v>
      </c>
      <c r="AI25" s="18">
        <f t="shared" si="39"/>
        <v>0</v>
      </c>
      <c r="AJ25" s="21">
        <f>SUMIF($I$3:$I24,$H25,AJ$3:AJ24)+AI25</f>
        <v>0</v>
      </c>
      <c r="AK25" s="16">
        <f t="shared" si="40"/>
        <v>122.1417959950312</v>
      </c>
      <c r="AL25" s="27">
        <f t="shared" si="41"/>
        <v>0</v>
      </c>
      <c r="AM25" s="33">
        <f t="shared" si="42"/>
        <v>0</v>
      </c>
      <c r="AN25" s="15">
        <f>INDEX(PipeData,MATCH($E25,PipeData_FromToId,0),COLUMN(PipeData_InnerDiameter))*1000</f>
        <v>300</v>
      </c>
      <c r="AO25" s="14"/>
      <c r="AP25" s="14"/>
      <c r="AQ25" s="16">
        <f t="shared" si="43"/>
        <v>304.79999999999995</v>
      </c>
      <c r="AR25" s="41">
        <v>3.5000000000000001E-3</v>
      </c>
      <c r="AS25" s="16">
        <f t="shared" si="44"/>
        <v>59.682516135642125</v>
      </c>
      <c r="AT25" s="16">
        <f t="shared" si="45"/>
        <v>0.84433488525771083</v>
      </c>
      <c r="AU25" s="16">
        <f t="shared" si="3"/>
        <v>11.607429458587189</v>
      </c>
      <c r="AV25" s="16">
        <f t="shared" si="46"/>
        <v>59.682516135642125</v>
      </c>
      <c r="AW25" s="48">
        <f t="shared" si="47"/>
        <v>0</v>
      </c>
      <c r="AX25" s="35">
        <v>104.2</v>
      </c>
      <c r="AY25" s="36">
        <f t="shared" si="48"/>
        <v>91.959602491792538</v>
      </c>
      <c r="AZ25" s="36">
        <f t="shared" si="49"/>
        <v>91.654802491792537</v>
      </c>
      <c r="BA25" s="37">
        <f t="shared" si="50"/>
        <v>12.240397508207465</v>
      </c>
      <c r="BB25" s="38">
        <v>124</v>
      </c>
      <c r="BC25" s="40"/>
      <c r="BD25" s="36">
        <f t="shared" si="8"/>
        <v>91.918976488687477</v>
      </c>
      <c r="BE25" s="36">
        <f t="shared" si="51"/>
        <v>91.614176488687477</v>
      </c>
      <c r="BF25" s="37">
        <f t="shared" si="52"/>
        <v>32.081023511312523</v>
      </c>
    </row>
    <row r="26" spans="5:58" x14ac:dyDescent="0.25">
      <c r="E26" s="29" t="str">
        <f t="shared" si="26"/>
        <v>171-121</v>
      </c>
      <c r="G26" s="17" t="s">
        <v>87</v>
      </c>
      <c r="H26" s="25" t="s">
        <v>92</v>
      </c>
      <c r="I26" s="26" t="s">
        <v>86</v>
      </c>
      <c r="J26" s="45"/>
      <c r="K26" s="46"/>
      <c r="L26" s="47"/>
      <c r="M26" s="45"/>
      <c r="N26" s="46"/>
      <c r="O26" s="47"/>
      <c r="P26" s="45"/>
      <c r="Q26" s="46"/>
      <c r="R26" s="47"/>
      <c r="S26" s="20">
        <f t="shared" si="27"/>
        <v>0</v>
      </c>
      <c r="T26" s="21">
        <f t="shared" si="28"/>
        <v>0</v>
      </c>
      <c r="U26" s="22">
        <f t="shared" si="29"/>
        <v>0</v>
      </c>
      <c r="V26" s="20">
        <f t="shared" si="30"/>
        <v>0</v>
      </c>
      <c r="W26" s="21">
        <f>SUMIF(I$3:I25,H26,W$3:W25)+V26</f>
        <v>0</v>
      </c>
      <c r="X26" s="21">
        <f t="array" ref="X26">MAX(--(I$3:I25=H26)*Z$3:Z25,10)</f>
        <v>10.229123729246449</v>
      </c>
      <c r="Y26" s="21">
        <f t="shared" si="31"/>
        <v>1.7218503256432289</v>
      </c>
      <c r="Z26" s="19">
        <f t="shared" si="32"/>
        <v>11.950974054889679</v>
      </c>
      <c r="AA26" s="32">
        <f t="shared" si="33"/>
        <v>0</v>
      </c>
      <c r="AB26" s="21">
        <f>SUMIF($I$3:$I25,$H26,AB$3:AB25)+AA26</f>
        <v>0</v>
      </c>
      <c r="AC26" s="21">
        <f t="shared" si="34"/>
        <v>75.93617020434742</v>
      </c>
      <c r="AD26" s="30">
        <f t="shared" si="35"/>
        <v>0</v>
      </c>
      <c r="AE26" s="18">
        <f t="shared" si="36"/>
        <v>0</v>
      </c>
      <c r="AF26" s="21">
        <f>SUMIF($I$3:$I25,$H26,AF$3:AF25)+AE26</f>
        <v>0</v>
      </c>
      <c r="AG26" s="16">
        <f t="shared" si="37"/>
        <v>102.99796440963392</v>
      </c>
      <c r="AH26" s="27">
        <f t="shared" si="38"/>
        <v>0</v>
      </c>
      <c r="AI26" s="18">
        <f t="shared" si="39"/>
        <v>0</v>
      </c>
      <c r="AJ26" s="21">
        <f>SUMIF($I$3:$I25,$H26,AJ$3:AJ25)+AI26</f>
        <v>0</v>
      </c>
      <c r="AK26" s="16">
        <f t="shared" si="40"/>
        <v>120.73405949268069</v>
      </c>
      <c r="AL26" s="27">
        <f t="shared" si="41"/>
        <v>0</v>
      </c>
      <c r="AM26" s="33">
        <f t="shared" si="42"/>
        <v>0</v>
      </c>
      <c r="AN26" s="15">
        <f>INDEX(PipeData,MATCH($E26,PipeData_FromToId,0),COLUMN(PipeData_InnerDiameter))*1000</f>
        <v>450</v>
      </c>
      <c r="AO26" s="14"/>
      <c r="AP26" s="14"/>
      <c r="AQ26" s="16">
        <f t="shared" si="43"/>
        <v>457.2</v>
      </c>
      <c r="AR26" s="41">
        <v>3.5000000000000001E-3</v>
      </c>
      <c r="AS26" s="16">
        <f t="shared" si="44"/>
        <v>175.96399561562001</v>
      </c>
      <c r="AT26" s="16">
        <f t="shared" si="45"/>
        <v>1.1063916921847514</v>
      </c>
      <c r="AU26" s="16">
        <f t="shared" si="3"/>
        <v>114.30245372863665</v>
      </c>
      <c r="AV26" s="16">
        <f t="shared" si="46"/>
        <v>175.96399561562001</v>
      </c>
      <c r="AW26" s="48">
        <f t="shared" si="47"/>
        <v>0</v>
      </c>
      <c r="AX26" s="35">
        <v>104.2</v>
      </c>
      <c r="AY26" s="36">
        <f t="shared" si="48"/>
        <v>91.918976488687477</v>
      </c>
      <c r="AZ26" s="36">
        <f t="shared" si="49"/>
        <v>91.461776488687477</v>
      </c>
      <c r="BA26" s="37">
        <f t="shared" si="50"/>
        <v>12.281023511312526</v>
      </c>
      <c r="BB26" s="38">
        <v>125</v>
      </c>
      <c r="BC26" s="40"/>
      <c r="BD26" s="36">
        <f t="shared" si="8"/>
        <v>91.518917900637248</v>
      </c>
      <c r="BE26" s="36">
        <f t="shared" si="51"/>
        <v>91.061717900637248</v>
      </c>
      <c r="BF26" s="37">
        <f t="shared" si="52"/>
        <v>33.481082099362752</v>
      </c>
    </row>
    <row r="27" spans="5:58" x14ac:dyDescent="0.25">
      <c r="E27" s="29" t="str">
        <f t="shared" si="26"/>
        <v>121-122</v>
      </c>
      <c r="G27" s="17" t="s">
        <v>77</v>
      </c>
      <c r="H27" s="25" t="s">
        <v>86</v>
      </c>
      <c r="I27" s="26" t="s">
        <v>75</v>
      </c>
      <c r="J27" s="45"/>
      <c r="K27" s="46"/>
      <c r="L27" s="47"/>
      <c r="M27" s="45"/>
      <c r="N27" s="46"/>
      <c r="O27" s="47"/>
      <c r="P27" s="45"/>
      <c r="Q27" s="46"/>
      <c r="R27" s="47"/>
      <c r="S27" s="20">
        <f t="shared" si="27"/>
        <v>0</v>
      </c>
      <c r="T27" s="21">
        <f t="shared" si="28"/>
        <v>0</v>
      </c>
      <c r="U27" s="22">
        <f t="shared" si="29"/>
        <v>0</v>
      </c>
      <c r="V27" s="20">
        <f t="shared" si="30"/>
        <v>0</v>
      </c>
      <c r="W27" s="21">
        <f>SUMIF(I$3:I26,H27,W$3:W26)+V27</f>
        <v>0</v>
      </c>
      <c r="X27" s="21">
        <f t="array" ref="X27">MAX(--(I$3:I26=H27)*Z$3:Z26,10)</f>
        <v>13.871301886772217</v>
      </c>
      <c r="Y27" s="21">
        <f t="shared" si="31"/>
        <v>0.67612367973007492</v>
      </c>
      <c r="Z27" s="19">
        <f t="shared" si="32"/>
        <v>14.547425566502293</v>
      </c>
      <c r="AA27" s="32">
        <f t="shared" si="33"/>
        <v>0</v>
      </c>
      <c r="AB27" s="21">
        <f>SUMIF($I$3:$I26,$H27,AB$3:AB26)+AA27</f>
        <v>0</v>
      </c>
      <c r="AC27" s="21">
        <f t="shared" si="34"/>
        <v>64.566356346175155</v>
      </c>
      <c r="AD27" s="30">
        <f t="shared" si="35"/>
        <v>0</v>
      </c>
      <c r="AE27" s="18">
        <f t="shared" si="36"/>
        <v>0</v>
      </c>
      <c r="AF27" s="21">
        <f>SUMIF($I$3:$I26,$H27,AF$3:AF26)+AE27</f>
        <v>0</v>
      </c>
      <c r="AG27" s="16">
        <f t="shared" si="37"/>
        <v>87.390370901268383</v>
      </c>
      <c r="AH27" s="27">
        <f t="shared" si="38"/>
        <v>0</v>
      </c>
      <c r="AI27" s="18">
        <f t="shared" si="39"/>
        <v>0</v>
      </c>
      <c r="AJ27" s="21">
        <f>SUMIF($I$3:$I26,$H27,AJ$3:AJ26)+AI27</f>
        <v>0</v>
      </c>
      <c r="AK27" s="16">
        <f t="shared" si="40"/>
        <v>102.36085205249886</v>
      </c>
      <c r="AL27" s="27">
        <f t="shared" si="41"/>
        <v>0</v>
      </c>
      <c r="AM27" s="33">
        <f t="shared" si="42"/>
        <v>0</v>
      </c>
      <c r="AN27" s="15">
        <f>INDEX(PipeData,MATCH($E27,PipeData_FromToId,0),COLUMN(PipeData_InnerDiameter))*1000</f>
        <v>900</v>
      </c>
      <c r="AO27" s="14"/>
      <c r="AP27" s="14"/>
      <c r="AQ27" s="16">
        <f t="shared" si="43"/>
        <v>914.4</v>
      </c>
      <c r="AR27" s="41">
        <v>3.5000000000000001E-3</v>
      </c>
      <c r="AS27" s="16">
        <f t="shared" si="44"/>
        <v>1117.3017269950512</v>
      </c>
      <c r="AT27" s="16">
        <f t="shared" si="45"/>
        <v>1.7562873360629505</v>
      </c>
      <c r="AU27" s="16">
        <f t="shared" si="3"/>
        <v>71.24804737933276</v>
      </c>
      <c r="AV27" s="16">
        <f t="shared" si="46"/>
        <v>1117.3017269950512</v>
      </c>
      <c r="AW27" s="48">
        <f t="shared" si="47"/>
        <v>0</v>
      </c>
      <c r="AX27" s="35">
        <v>104.2</v>
      </c>
      <c r="AY27" s="36">
        <f t="shared" si="48"/>
        <v>91.518917900637248</v>
      </c>
      <c r="AZ27" s="36">
        <f t="shared" si="49"/>
        <v>90.604517900637248</v>
      </c>
      <c r="BA27" s="37">
        <f t="shared" si="50"/>
        <v>12.681082099362754</v>
      </c>
      <c r="BB27" s="38">
        <v>126</v>
      </c>
      <c r="BC27" s="40"/>
      <c r="BD27" s="36">
        <f>AY28+BC27</f>
        <v>91.269549734809587</v>
      </c>
      <c r="BE27" s="36">
        <f t="shared" si="51"/>
        <v>90.355149734809586</v>
      </c>
      <c r="BF27" s="37">
        <f t="shared" si="52"/>
        <v>34.730450265190413</v>
      </c>
    </row>
    <row r="28" spans="5:58" x14ac:dyDescent="0.25">
      <c r="E28" s="29" t="str">
        <f t="shared" si="26"/>
        <v>122-outlet</v>
      </c>
      <c r="G28" s="17" t="s">
        <v>67</v>
      </c>
      <c r="H28" s="25" t="s">
        <v>75</v>
      </c>
      <c r="I28" s="26" t="s">
        <v>93</v>
      </c>
      <c r="J28" s="45"/>
      <c r="K28" s="46"/>
      <c r="L28" s="47"/>
      <c r="M28" s="45"/>
      <c r="N28" s="46"/>
      <c r="O28" s="47"/>
      <c r="P28" s="45"/>
      <c r="Q28" s="46"/>
      <c r="R28" s="47"/>
      <c r="S28" s="20">
        <f t="shared" si="27"/>
        <v>0</v>
      </c>
      <c r="T28" s="21">
        <f t="shared" si="28"/>
        <v>0</v>
      </c>
      <c r="U28" s="22">
        <f t="shared" si="29"/>
        <v>0</v>
      </c>
      <c r="V28" s="20">
        <f t="shared" si="30"/>
        <v>0</v>
      </c>
      <c r="W28" s="21">
        <f>SUMIF(I$3:I27,H28,W$3:W27)+V28</f>
        <v>1.5299999999999998</v>
      </c>
      <c r="X28" s="21">
        <f t="array" ref="X28">MAX(--(I$3:I27=H28)*Z$3:Z27,10)</f>
        <v>14.547425566502293</v>
      </c>
      <c r="Y28" s="21">
        <f t="shared" si="31"/>
        <v>0.26131503226999186</v>
      </c>
      <c r="Z28" s="19">
        <f t="shared" si="32"/>
        <v>14.808740598772285</v>
      </c>
      <c r="AA28" s="32">
        <f t="shared" si="33"/>
        <v>0</v>
      </c>
      <c r="AB28" s="21">
        <f>SUMIF($I$3:$I27,$H28,AB$3:AB27)+AA28</f>
        <v>1.9893679999999998</v>
      </c>
      <c r="AC28" s="21">
        <f t="shared" si="34"/>
        <v>62.85659961925689</v>
      </c>
      <c r="AD28" s="30">
        <f t="shared" si="35"/>
        <v>125.04490787136183</v>
      </c>
      <c r="AE28" s="18">
        <f t="shared" si="36"/>
        <v>0</v>
      </c>
      <c r="AF28" s="21">
        <f>SUMIF($I$3:$I27,$H28,AF$3:AF27)+AE28</f>
        <v>0.66858999999999991</v>
      </c>
      <c r="AG28" s="16">
        <f t="shared" si="37"/>
        <v>85.048413460237342</v>
      </c>
      <c r="AH28" s="27">
        <f t="shared" si="38"/>
        <v>56.862518755380073</v>
      </c>
      <c r="AI28" s="18">
        <f t="shared" si="39"/>
        <v>0</v>
      </c>
      <c r="AJ28" s="21">
        <f>SUMIF($I$3:$I27,$H28,AJ$3:AJ27)+AI28</f>
        <v>0</v>
      </c>
      <c r="AK28" s="16">
        <f t="shared" si="40"/>
        <v>99.605823203188663</v>
      </c>
      <c r="AL28" s="27">
        <f t="shared" si="41"/>
        <v>0</v>
      </c>
      <c r="AM28" s="33">
        <f t="shared" si="42"/>
        <v>181.90742662674191</v>
      </c>
      <c r="AN28" s="15">
        <f>INDEX(PipeData,MATCH($E28,PipeData_FromToId,0),COLUMN(PipeData_InnerDiameter))*1000</f>
        <v>2100</v>
      </c>
      <c r="AO28" s="14"/>
      <c r="AP28" s="14"/>
      <c r="AQ28" s="16">
        <f t="shared" si="43"/>
        <v>2133.6</v>
      </c>
      <c r="AR28" s="41">
        <v>3.5000000000000001E-3</v>
      </c>
      <c r="AS28" s="16">
        <f t="shared" si="44"/>
        <v>10701.432032100976</v>
      </c>
      <c r="AT28" s="16">
        <f t="shared" si="45"/>
        <v>3.0896794667951326</v>
      </c>
      <c r="AU28" s="16">
        <f t="shared" si="3"/>
        <v>48.442781374170082</v>
      </c>
      <c r="AV28" s="16">
        <f t="shared" si="46"/>
        <v>10519.524605474235</v>
      </c>
      <c r="AW28" s="48">
        <f t="shared" si="47"/>
        <v>1.6998419097656842E-2</v>
      </c>
      <c r="AX28" s="35">
        <v>104.2</v>
      </c>
      <c r="AY28" s="36">
        <f t="shared" si="48"/>
        <v>91.269549734809587</v>
      </c>
      <c r="AZ28" s="36">
        <f t="shared" si="49"/>
        <v>89.135949734809586</v>
      </c>
      <c r="BA28" s="37">
        <f t="shared" si="50"/>
        <v>12.930450265190416</v>
      </c>
      <c r="BB28" s="38">
        <v>127</v>
      </c>
      <c r="BC28" s="40"/>
      <c r="BD28" s="36">
        <f>91.1+BC28</f>
        <v>91.1</v>
      </c>
      <c r="BE28" s="36">
        <f t="shared" si="51"/>
        <v>88.966399999999993</v>
      </c>
      <c r="BF28" s="37">
        <f t="shared" si="52"/>
        <v>35.900000000000006</v>
      </c>
    </row>
    <row r="29" spans="5:58" x14ac:dyDescent="0.25">
      <c r="H29" s="3" t="s">
        <v>65</v>
      </c>
      <c r="AX29" s="3">
        <v>100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28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C27" sqref="C27"/>
    </sheetView>
  </sheetViews>
  <sheetFormatPr defaultColWidth="14.85546875" defaultRowHeight="14.25" x14ac:dyDescent="0.2"/>
  <cols>
    <col min="1" max="1" width="14.85546875" style="5"/>
    <col min="2" max="2" width="16.7109375" style="5" customWidth="1"/>
    <col min="3" max="3" width="21.140625" style="5" customWidth="1"/>
    <col min="4" max="4" width="22.28515625" style="5" customWidth="1"/>
    <col min="5" max="16384" width="14.85546875" style="5"/>
  </cols>
  <sheetData>
    <row r="1" spans="1:9" s="4" customFormat="1" ht="15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">
      <c r="A2" s="5">
        <v>202177</v>
      </c>
      <c r="B2" s="5">
        <v>192</v>
      </c>
      <c r="C2" s="5">
        <v>193</v>
      </c>
      <c r="D2" s="5" t="str">
        <f>_xlfn.CONCAT(B2,"-",C2)</f>
        <v>192-193</v>
      </c>
      <c r="E2" s="5">
        <v>60.248521186752043</v>
      </c>
      <c r="F2" s="6">
        <f t="shared" ref="F2:F65" si="0">_xlfn.IFNA(INDEX(Design,MATCH(D2,Design_FromToId,0),COLUMN(Design_Slope)),"NOTFOUND")</f>
        <v>2.5000000000000001E-3</v>
      </c>
      <c r="G2" s="5">
        <v>0.45</v>
      </c>
      <c r="H2" s="7">
        <f t="shared" ref="H2:H65" si="1">_xlfn.IFNA(INDEX(Design, MATCH(D2,Design_FromToId,0),COLUMN(Design_StartInv)),"NOTFOUND")</f>
        <v>96.921834996120324</v>
      </c>
      <c r="I2" s="7">
        <f t="shared" ref="I2:I65" si="2">_xlfn.IFNA(INDEX(Design, MATCH(D2,Design_FromToId,0),COLUMN(Design_EndInv)),"NOTFOUND")</f>
        <v>96.771213693153442</v>
      </c>
    </row>
    <row r="3" spans="1:9" x14ac:dyDescent="0.2">
      <c r="A3" s="5">
        <v>202191</v>
      </c>
      <c r="B3" s="5">
        <v>193</v>
      </c>
      <c r="C3" s="5">
        <v>194</v>
      </c>
      <c r="D3" s="5" t="str">
        <f t="shared" ref="D3" si="3">_xlfn.CONCAT(B3,"-",C3)</f>
        <v>193-194</v>
      </c>
      <c r="E3" s="5">
        <v>8.5560497558641622</v>
      </c>
      <c r="F3" s="6">
        <f t="shared" si="0"/>
        <v>2.5000000000000001E-3</v>
      </c>
      <c r="G3" s="5">
        <v>0.45</v>
      </c>
      <c r="H3" s="7">
        <f t="shared" si="1"/>
        <v>96.771213693153442</v>
      </c>
      <c r="I3" s="7">
        <f t="shared" si="2"/>
        <v>96.749823568763787</v>
      </c>
    </row>
    <row r="4" spans="1:9" x14ac:dyDescent="0.2">
      <c r="A4" s="5">
        <v>202208</v>
      </c>
      <c r="B4" s="5">
        <v>194</v>
      </c>
      <c r="C4" s="5" t="s">
        <v>50</v>
      </c>
      <c r="D4" s="5" t="str">
        <f t="shared" ref="D4" si="4">_xlfn.CONCAT(B4,"-",C4)</f>
        <v>194-EX.510</v>
      </c>
      <c r="E4" s="5">
        <v>127.00858589173859</v>
      </c>
      <c r="F4" s="6">
        <f t="shared" si="0"/>
        <v>3.5000000000000001E-3</v>
      </c>
      <c r="G4" s="5">
        <v>0.67500000000000004</v>
      </c>
      <c r="H4" s="7">
        <f t="shared" si="1"/>
        <v>96.521223568763787</v>
      </c>
      <c r="I4" s="7">
        <f t="shared" si="2"/>
        <v>96.076693518142704</v>
      </c>
    </row>
    <row r="5" spans="1:9" x14ac:dyDescent="0.2">
      <c r="A5" s="5">
        <v>202233</v>
      </c>
      <c r="B5" s="5">
        <v>192</v>
      </c>
      <c r="C5" s="5">
        <v>191</v>
      </c>
      <c r="D5" s="5" t="str">
        <f t="shared" ref="D5" si="5">_xlfn.CONCAT(B5,"-",C5)</f>
        <v>192-191</v>
      </c>
      <c r="E5" s="5">
        <v>9.0514834856221587</v>
      </c>
      <c r="F5" s="6">
        <f t="shared" si="0"/>
        <v>3.5000000000000001E-3</v>
      </c>
      <c r="G5" s="5">
        <v>0.3</v>
      </c>
      <c r="H5" s="7">
        <f t="shared" si="1"/>
        <v>97.592836232891628</v>
      </c>
      <c r="I5" s="7">
        <f t="shared" si="2"/>
        <v>97.561156040691955</v>
      </c>
    </row>
    <row r="6" spans="1:9" x14ac:dyDescent="0.2">
      <c r="A6" s="5">
        <v>202250</v>
      </c>
      <c r="B6" s="5">
        <v>191</v>
      </c>
      <c r="C6" s="5" t="s">
        <v>66</v>
      </c>
      <c r="D6" s="5" t="str">
        <f t="shared" ref="D6" si="6">_xlfn.CONCAT(B6,"-",C6)</f>
        <v>191-EX.508</v>
      </c>
      <c r="E6" s="5">
        <v>121.73026114290668</v>
      </c>
      <c r="F6" s="6">
        <f t="shared" si="0"/>
        <v>4.0000000000000001E-3</v>
      </c>
      <c r="G6" s="5">
        <v>0.375</v>
      </c>
      <c r="H6" s="7">
        <f t="shared" si="1"/>
        <v>97.484956040691955</v>
      </c>
      <c r="I6" s="7">
        <f t="shared" si="2"/>
        <v>96.998034996120325</v>
      </c>
    </row>
    <row r="7" spans="1:9" x14ac:dyDescent="0.2">
      <c r="A7" s="5">
        <v>202265</v>
      </c>
      <c r="B7" s="5" t="s">
        <v>52</v>
      </c>
      <c r="C7" s="5" t="s">
        <v>50</v>
      </c>
      <c r="D7" s="5" t="str">
        <f t="shared" ref="D7" si="7">_xlfn.CONCAT(B7,"-",C7)</f>
        <v>EX.509-EX.510</v>
      </c>
      <c r="E7" s="5">
        <v>48.537577208603132</v>
      </c>
      <c r="F7" s="6" t="str">
        <f t="shared" si="0"/>
        <v>NOTFOUND</v>
      </c>
      <c r="G7" s="5">
        <v>2.69</v>
      </c>
      <c r="H7" s="7" t="str">
        <f t="shared" si="1"/>
        <v>NOTFOUND</v>
      </c>
      <c r="I7" s="7" t="str">
        <f t="shared" si="2"/>
        <v>NOTFOUND</v>
      </c>
    </row>
    <row r="8" spans="1:9" x14ac:dyDescent="0.2">
      <c r="A8" s="5">
        <v>202289</v>
      </c>
      <c r="B8" s="5" t="s">
        <v>50</v>
      </c>
      <c r="C8" s="5">
        <v>180</v>
      </c>
      <c r="D8" s="5" t="str">
        <f t="shared" ref="D8" si="8">_xlfn.CONCAT(B8,"-",C8)</f>
        <v>EX.510-180</v>
      </c>
      <c r="E8" s="5">
        <v>71.937192778177888</v>
      </c>
      <c r="F8" s="6">
        <f t="shared" si="0"/>
        <v>1.5E-3</v>
      </c>
      <c r="G8" s="5">
        <v>2.69</v>
      </c>
      <c r="H8" s="7">
        <f t="shared" si="1"/>
        <v>94.029453518142702</v>
      </c>
      <c r="I8" s="7">
        <f t="shared" si="2"/>
        <v>93.92154772897544</v>
      </c>
    </row>
    <row r="9" spans="1:9" x14ac:dyDescent="0.2">
      <c r="A9" s="5">
        <v>202308</v>
      </c>
      <c r="B9" s="5">
        <v>127</v>
      </c>
      <c r="C9" s="5">
        <v>128</v>
      </c>
      <c r="D9" s="5" t="str">
        <f t="shared" ref="D9" si="9">_xlfn.CONCAT(B9,"-",C9)</f>
        <v>127-128</v>
      </c>
      <c r="E9" s="5">
        <v>7.4483387396701319</v>
      </c>
      <c r="F9" s="6">
        <f t="shared" si="0"/>
        <v>6.4999999999999997E-3</v>
      </c>
      <c r="G9" s="5">
        <v>0.3</v>
      </c>
      <c r="H9" s="7">
        <f t="shared" si="1"/>
        <v>96.349787728975443</v>
      </c>
      <c r="I9" s="7">
        <f t="shared" si="2"/>
        <v>96.301373527167584</v>
      </c>
    </row>
    <row r="10" spans="1:9" x14ac:dyDescent="0.2">
      <c r="A10" s="5">
        <v>202322</v>
      </c>
      <c r="B10" s="5">
        <v>128</v>
      </c>
      <c r="C10" s="5">
        <v>180</v>
      </c>
      <c r="D10" s="5" t="str">
        <f t="shared" ref="D10:D73" si="10">_xlfn.CONCAT(B10,"-",C10)</f>
        <v>128-180</v>
      </c>
      <c r="E10" s="5">
        <v>119.15522758901774</v>
      </c>
      <c r="F10" s="6">
        <f t="shared" si="0"/>
        <v>3.5000000000000001E-3</v>
      </c>
      <c r="G10" s="5">
        <v>0.52500000000000002</v>
      </c>
      <c r="H10" s="7">
        <f t="shared" si="1"/>
        <v>96.072773527167584</v>
      </c>
      <c r="I10" s="7">
        <f t="shared" si="2"/>
        <v>95.655730230606025</v>
      </c>
    </row>
    <row r="11" spans="1:9" x14ac:dyDescent="0.2">
      <c r="A11" s="5">
        <v>202357</v>
      </c>
      <c r="B11" s="5">
        <v>180</v>
      </c>
      <c r="C11" s="5" t="s">
        <v>53</v>
      </c>
      <c r="D11" s="5" t="str">
        <f t="shared" si="10"/>
        <v>180-122B</v>
      </c>
      <c r="E11" s="5">
        <v>76.197728201724445</v>
      </c>
      <c r="F11" s="6">
        <f t="shared" si="0"/>
        <v>1.5E-3</v>
      </c>
      <c r="G11" s="5">
        <v>2.69</v>
      </c>
      <c r="H11" s="7">
        <f t="shared" si="1"/>
        <v>93.456090230606023</v>
      </c>
      <c r="I11" s="7">
        <f t="shared" si="2"/>
        <v>93.341793638303443</v>
      </c>
    </row>
    <row r="12" spans="1:9" x14ac:dyDescent="0.2">
      <c r="A12" s="5">
        <v>202374</v>
      </c>
      <c r="B12" s="5">
        <v>127</v>
      </c>
      <c r="C12" s="5">
        <v>123</v>
      </c>
      <c r="D12" s="5" t="str">
        <f t="shared" si="10"/>
        <v>127-123</v>
      </c>
      <c r="E12" s="5">
        <v>73.315958558569037</v>
      </c>
      <c r="F12" s="6">
        <f t="shared" si="0"/>
        <v>3.5000000000000001E-3</v>
      </c>
      <c r="G12" s="5">
        <v>0.3</v>
      </c>
      <c r="H12" s="7">
        <f t="shared" si="1"/>
        <v>95.73753363830572</v>
      </c>
      <c r="I12" s="7">
        <f t="shared" si="2"/>
        <v>95.480927783350722</v>
      </c>
    </row>
    <row r="13" spans="1:9" x14ac:dyDescent="0.2">
      <c r="A13" s="5">
        <v>202382</v>
      </c>
      <c r="B13" s="5">
        <v>124</v>
      </c>
      <c r="C13" s="5">
        <v>123</v>
      </c>
      <c r="D13" s="5" t="str">
        <f t="shared" si="10"/>
        <v>124-123</v>
      </c>
      <c r="E13" s="5">
        <v>23.458546816012163</v>
      </c>
      <c r="F13" s="6">
        <f t="shared" si="0"/>
        <v>2.5000000000000001E-3</v>
      </c>
      <c r="G13" s="5">
        <v>0.3</v>
      </c>
      <c r="H13" s="7">
        <f t="shared" si="1"/>
        <v>95.480927783350722</v>
      </c>
      <c r="I13" s="7">
        <f t="shared" si="2"/>
        <v>95.422281416310696</v>
      </c>
    </row>
    <row r="14" spans="1:9" x14ac:dyDescent="0.2">
      <c r="A14" s="5">
        <v>202388</v>
      </c>
      <c r="B14" s="5">
        <v>123</v>
      </c>
      <c r="C14" s="5">
        <v>122</v>
      </c>
      <c r="D14" s="5" t="str">
        <f t="shared" si="10"/>
        <v>123-122</v>
      </c>
      <c r="E14" s="5">
        <v>121.16993967936675</v>
      </c>
      <c r="F14" s="6">
        <f t="shared" si="0"/>
        <v>6.4999999999999997E-3</v>
      </c>
      <c r="G14" s="5">
        <v>0.6</v>
      </c>
      <c r="H14" s="7">
        <f t="shared" si="1"/>
        <v>95.117481416310696</v>
      </c>
      <c r="I14" s="7">
        <f t="shared" si="2"/>
        <v>94.329876808394815</v>
      </c>
    </row>
    <row r="15" spans="1:9" x14ac:dyDescent="0.2">
      <c r="A15" s="5">
        <v>202426</v>
      </c>
      <c r="B15" s="5">
        <v>162</v>
      </c>
      <c r="C15" s="5">
        <v>160</v>
      </c>
      <c r="D15" s="5" t="str">
        <f t="shared" si="10"/>
        <v>162-160</v>
      </c>
      <c r="E15" s="5">
        <v>120.91434625873281</v>
      </c>
      <c r="F15" s="6">
        <f t="shared" si="0"/>
        <v>6.4999999999999997E-3</v>
      </c>
      <c r="G15" s="5">
        <v>0.45</v>
      </c>
      <c r="H15" s="7">
        <f t="shared" si="1"/>
        <v>94.482276808394815</v>
      </c>
      <c r="I15" s="7">
        <f t="shared" si="2"/>
        <v>93.696333557713047</v>
      </c>
    </row>
    <row r="16" spans="1:9" x14ac:dyDescent="0.2">
      <c r="A16" s="5">
        <v>202441</v>
      </c>
      <c r="B16" s="5">
        <v>160</v>
      </c>
      <c r="C16" s="5">
        <v>118</v>
      </c>
      <c r="D16" s="5" t="str">
        <f t="shared" si="10"/>
        <v>160-118</v>
      </c>
      <c r="E16" s="5">
        <v>64.721461597445327</v>
      </c>
      <c r="F16" s="6">
        <f t="shared" si="0"/>
        <v>6.4999999999999997E-3</v>
      </c>
      <c r="G16" s="5">
        <v>0.52500000000000002</v>
      </c>
      <c r="H16" s="7">
        <f t="shared" si="1"/>
        <v>93.620133557713046</v>
      </c>
      <c r="I16" s="7">
        <f t="shared" si="2"/>
        <v>93.199444057329657</v>
      </c>
    </row>
    <row r="17" spans="1:9" x14ac:dyDescent="0.2">
      <c r="A17" s="5">
        <v>202589</v>
      </c>
      <c r="B17" s="5">
        <v>116</v>
      </c>
      <c r="C17" s="5">
        <v>118</v>
      </c>
      <c r="D17" s="5" t="str">
        <f t="shared" si="10"/>
        <v>116-118</v>
      </c>
      <c r="E17" s="5">
        <v>61.29301718195412</v>
      </c>
      <c r="F17" s="6">
        <f t="shared" si="0"/>
        <v>3.5000000000000001E-3</v>
      </c>
      <c r="G17" s="5">
        <v>0.375</v>
      </c>
      <c r="H17" s="7">
        <f t="shared" si="1"/>
        <v>93.351844057329657</v>
      </c>
      <c r="I17" s="7">
        <f t="shared" si="2"/>
        <v>93.137318497192823</v>
      </c>
    </row>
    <row r="18" spans="1:9" x14ac:dyDescent="0.2">
      <c r="A18" s="5">
        <v>202634</v>
      </c>
      <c r="B18" s="5">
        <v>118</v>
      </c>
      <c r="C18" s="5">
        <v>119</v>
      </c>
      <c r="D18" s="5" t="str">
        <f t="shared" si="10"/>
        <v>118-119</v>
      </c>
      <c r="E18" s="5">
        <v>32.084557888505628</v>
      </c>
      <c r="F18" s="6">
        <f t="shared" si="0"/>
        <v>1.5E-3</v>
      </c>
      <c r="G18" s="5">
        <v>0.6</v>
      </c>
      <c r="H18" s="7">
        <f t="shared" si="1"/>
        <v>92.908718497192822</v>
      </c>
      <c r="I18" s="7">
        <f t="shared" si="2"/>
        <v>92.860591660360058</v>
      </c>
    </row>
    <row r="19" spans="1:9" x14ac:dyDescent="0.2">
      <c r="A19" s="5">
        <v>202705</v>
      </c>
      <c r="B19" s="5">
        <v>173</v>
      </c>
      <c r="C19" s="5">
        <v>120</v>
      </c>
      <c r="D19" s="5" t="str">
        <f t="shared" si="10"/>
        <v>173-120</v>
      </c>
      <c r="E19" s="5">
        <v>120.2356141617646</v>
      </c>
      <c r="F19" s="6">
        <f t="shared" si="0"/>
        <v>3.5000000000000001E-3</v>
      </c>
      <c r="G19" s="5">
        <v>0.52500000000000002</v>
      </c>
      <c r="H19" s="7">
        <f t="shared" si="1"/>
        <v>92.117788127612187</v>
      </c>
      <c r="I19" s="7">
        <f t="shared" si="2"/>
        <v>91.696963478046015</v>
      </c>
    </row>
    <row r="20" spans="1:9" x14ac:dyDescent="0.2">
      <c r="A20" s="5">
        <v>202720</v>
      </c>
      <c r="B20" s="5">
        <v>120</v>
      </c>
      <c r="C20" s="5">
        <v>121</v>
      </c>
      <c r="D20" s="5" t="str">
        <f t="shared" si="10"/>
        <v>120-121</v>
      </c>
      <c r="E20" s="5">
        <v>77.360281786709308</v>
      </c>
      <c r="F20" s="6">
        <f t="shared" si="0"/>
        <v>3.5000000000000001E-3</v>
      </c>
      <c r="G20" s="5">
        <v>0.75</v>
      </c>
      <c r="H20" s="7">
        <f t="shared" si="1"/>
        <v>91.468363478046015</v>
      </c>
      <c r="I20" s="7">
        <f t="shared" si="2"/>
        <v>91.197602491792537</v>
      </c>
    </row>
    <row r="21" spans="1:9" x14ac:dyDescent="0.2">
      <c r="A21" s="5">
        <v>202744</v>
      </c>
      <c r="B21" s="5">
        <v>161</v>
      </c>
      <c r="C21" s="5">
        <v>173</v>
      </c>
      <c r="D21" s="5" t="str">
        <f t="shared" si="10"/>
        <v>161-173</v>
      </c>
      <c r="E21" s="5">
        <v>65.240212290512403</v>
      </c>
      <c r="F21" s="6">
        <f t="shared" si="0"/>
        <v>3.5000000000000001E-3</v>
      </c>
      <c r="G21" s="5">
        <v>0.3</v>
      </c>
      <c r="H21" s="7">
        <f t="shared" si="1"/>
        <v>93.018184045433458</v>
      </c>
      <c r="I21" s="7">
        <f t="shared" si="2"/>
        <v>92.789843302416671</v>
      </c>
    </row>
    <row r="22" spans="1:9" x14ac:dyDescent="0.2">
      <c r="A22" s="5">
        <v>202752</v>
      </c>
      <c r="B22" s="5">
        <v>172</v>
      </c>
      <c r="C22" s="5">
        <v>173</v>
      </c>
      <c r="D22" s="5" t="str">
        <f t="shared" si="10"/>
        <v>172-173</v>
      </c>
      <c r="E22" s="5">
        <v>68.223873046844318</v>
      </c>
      <c r="F22" s="6">
        <f t="shared" si="0"/>
        <v>6.4999999999999997E-3</v>
      </c>
      <c r="G22" s="5">
        <v>0.375</v>
      </c>
      <c r="H22" s="7">
        <f t="shared" si="1"/>
        <v>92.713643302416671</v>
      </c>
      <c r="I22" s="7">
        <f t="shared" si="2"/>
        <v>92.270188127612187</v>
      </c>
    </row>
    <row r="23" spans="1:9" x14ac:dyDescent="0.2">
      <c r="A23" s="5">
        <v>202760</v>
      </c>
      <c r="B23" s="5">
        <v>172</v>
      </c>
      <c r="C23" s="5">
        <v>171</v>
      </c>
      <c r="D23" s="5" t="str">
        <f t="shared" si="10"/>
        <v>172-171</v>
      </c>
      <c r="E23" s="5">
        <v>11.607429458587189</v>
      </c>
      <c r="F23" s="6">
        <f t="shared" si="0"/>
        <v>3.5000000000000001E-3</v>
      </c>
      <c r="G23" s="5">
        <v>0.3</v>
      </c>
      <c r="H23" s="7">
        <f t="shared" si="1"/>
        <v>91.654802491792537</v>
      </c>
      <c r="I23" s="7">
        <f t="shared" si="2"/>
        <v>91.614176488687477</v>
      </c>
    </row>
    <row r="24" spans="1:9" x14ac:dyDescent="0.2">
      <c r="A24" s="5">
        <v>202766</v>
      </c>
      <c r="B24" s="5">
        <v>171</v>
      </c>
      <c r="C24" s="5">
        <v>121</v>
      </c>
      <c r="D24" s="5" t="str">
        <f t="shared" si="10"/>
        <v>171-121</v>
      </c>
      <c r="E24" s="5">
        <v>114.30245372863665</v>
      </c>
      <c r="F24" s="6">
        <f t="shared" si="0"/>
        <v>3.5000000000000001E-3</v>
      </c>
      <c r="G24" s="5">
        <v>0.45</v>
      </c>
      <c r="H24" s="7">
        <f t="shared" si="1"/>
        <v>91.461776488687477</v>
      </c>
      <c r="I24" s="7">
        <f t="shared" si="2"/>
        <v>91.061717900637248</v>
      </c>
    </row>
    <row r="25" spans="1:9" x14ac:dyDescent="0.2">
      <c r="A25" s="5">
        <v>202803</v>
      </c>
      <c r="B25" s="5">
        <v>121</v>
      </c>
      <c r="C25" s="5">
        <v>122</v>
      </c>
      <c r="D25" s="5" t="str">
        <f t="shared" si="10"/>
        <v>121-122</v>
      </c>
      <c r="E25" s="5">
        <v>71.24804737933276</v>
      </c>
      <c r="F25" s="6">
        <f t="shared" si="0"/>
        <v>3.5000000000000001E-3</v>
      </c>
      <c r="G25" s="5">
        <v>0.9</v>
      </c>
      <c r="H25" s="7">
        <f t="shared" si="1"/>
        <v>90.604517900637248</v>
      </c>
      <c r="I25" s="7">
        <f t="shared" si="2"/>
        <v>90.355149734809586</v>
      </c>
    </row>
    <row r="26" spans="1:9" x14ac:dyDescent="0.2">
      <c r="A26" s="5">
        <v>202836</v>
      </c>
      <c r="B26" s="5">
        <v>122</v>
      </c>
      <c r="C26" s="5" t="s">
        <v>93</v>
      </c>
      <c r="D26" s="5" t="str">
        <f t="shared" si="10"/>
        <v>122-outlet</v>
      </c>
      <c r="E26" s="5">
        <v>48.442781374170082</v>
      </c>
      <c r="F26" s="6">
        <f t="shared" si="0"/>
        <v>3.5000000000000001E-3</v>
      </c>
      <c r="G26" s="5">
        <v>2.1</v>
      </c>
      <c r="H26" s="7">
        <f t="shared" si="1"/>
        <v>89.135949734809586</v>
      </c>
      <c r="I26" s="7">
        <f t="shared" si="2"/>
        <v>88.966399999999993</v>
      </c>
    </row>
    <row r="27" spans="1:9" x14ac:dyDescent="0.2">
      <c r="A27" s="5">
        <v>202853</v>
      </c>
      <c r="B27" s="5">
        <v>154</v>
      </c>
      <c r="C27" s="5">
        <v>153</v>
      </c>
      <c r="D27" s="5" t="str">
        <f t="shared" si="10"/>
        <v>154-153</v>
      </c>
      <c r="E27" s="5">
        <v>111.57529580420719</v>
      </c>
      <c r="F27" s="6" t="str">
        <f t="shared" si="0"/>
        <v>NOTFOUND</v>
      </c>
      <c r="G27" s="5">
        <v>0.45</v>
      </c>
      <c r="H27" s="7" t="str">
        <f t="shared" si="1"/>
        <v>NOTFOUND</v>
      </c>
      <c r="I27" s="7" t="str">
        <f t="shared" si="2"/>
        <v>NOTFOUND</v>
      </c>
    </row>
    <row r="28" spans="1:9" x14ac:dyDescent="0.2">
      <c r="A28" s="5">
        <v>202861</v>
      </c>
      <c r="B28" s="5">
        <v>153</v>
      </c>
      <c r="C28" s="5">
        <v>152</v>
      </c>
      <c r="D28" s="5" t="str">
        <f t="shared" si="10"/>
        <v>153-152</v>
      </c>
      <c r="E28" s="5">
        <v>12.249388224905921</v>
      </c>
      <c r="F28" s="6" t="str">
        <f t="shared" si="0"/>
        <v>NOTFOUND</v>
      </c>
      <c r="G28" s="5">
        <v>0.45</v>
      </c>
      <c r="H28" s="7" t="str">
        <f t="shared" si="1"/>
        <v>NOTFOUND</v>
      </c>
      <c r="I28" s="7" t="str">
        <f t="shared" si="2"/>
        <v>NOTFOUND</v>
      </c>
    </row>
    <row r="29" spans="1:9" x14ac:dyDescent="0.2">
      <c r="A29" s="5">
        <v>202869</v>
      </c>
      <c r="B29" s="5">
        <v>152</v>
      </c>
      <c r="C29" s="5">
        <v>151</v>
      </c>
      <c r="D29" s="5" t="str">
        <f t="shared" si="10"/>
        <v>152-151</v>
      </c>
      <c r="E29" s="5">
        <v>71.54128791990243</v>
      </c>
      <c r="F29" s="6" t="str">
        <f t="shared" si="0"/>
        <v>NOTFOUND</v>
      </c>
      <c r="G29" s="5">
        <v>0.6</v>
      </c>
      <c r="H29" s="7" t="str">
        <f t="shared" si="1"/>
        <v>NOTFOUND</v>
      </c>
      <c r="I29" s="7" t="str">
        <f t="shared" si="2"/>
        <v>NOTFOUND</v>
      </c>
    </row>
    <row r="30" spans="1:9" x14ac:dyDescent="0.2">
      <c r="A30" s="5">
        <v>202877</v>
      </c>
      <c r="B30" s="5">
        <v>151</v>
      </c>
      <c r="C30" s="5">
        <v>150</v>
      </c>
      <c r="D30" s="5" t="str">
        <f t="shared" si="10"/>
        <v>151-150</v>
      </c>
      <c r="E30" s="5">
        <v>23.389843743215764</v>
      </c>
      <c r="F30" s="6" t="str">
        <f t="shared" si="0"/>
        <v>NOTFOUND</v>
      </c>
      <c r="G30" s="5">
        <v>0.6</v>
      </c>
      <c r="H30" s="7" t="str">
        <f t="shared" si="1"/>
        <v>NOTFOUND</v>
      </c>
      <c r="I30" s="7" t="str">
        <f t="shared" si="2"/>
        <v>NOTFOUND</v>
      </c>
    </row>
    <row r="31" spans="1:9" x14ac:dyDescent="0.2">
      <c r="A31" s="5">
        <v>202885</v>
      </c>
      <c r="B31" s="5">
        <v>150</v>
      </c>
      <c r="C31" s="5">
        <v>142</v>
      </c>
      <c r="D31" s="5" t="str">
        <f t="shared" si="10"/>
        <v>150-142</v>
      </c>
      <c r="E31" s="5">
        <v>7.5312572274582434</v>
      </c>
      <c r="F31" s="6" t="str">
        <f t="shared" si="0"/>
        <v>NOTFOUND</v>
      </c>
      <c r="G31" s="5">
        <v>0.67500000000000004</v>
      </c>
      <c r="H31" s="7" t="str">
        <f t="shared" si="1"/>
        <v>NOTFOUND</v>
      </c>
      <c r="I31" s="7" t="str">
        <f t="shared" si="2"/>
        <v>NOTFOUND</v>
      </c>
    </row>
    <row r="32" spans="1:9" x14ac:dyDescent="0.2">
      <c r="A32" s="5">
        <v>202906</v>
      </c>
      <c r="B32" s="5">
        <v>145</v>
      </c>
      <c r="C32" s="5">
        <v>144</v>
      </c>
      <c r="D32" s="5" t="str">
        <f t="shared" si="10"/>
        <v>145-144</v>
      </c>
      <c r="E32" s="5">
        <v>18.304712072801465</v>
      </c>
      <c r="F32" s="6" t="str">
        <f t="shared" si="0"/>
        <v>NOTFOUND</v>
      </c>
      <c r="G32" s="5">
        <v>0.3</v>
      </c>
      <c r="H32" s="7" t="str">
        <f t="shared" si="1"/>
        <v>NOTFOUND</v>
      </c>
      <c r="I32" s="7" t="str">
        <f t="shared" si="2"/>
        <v>NOTFOUND</v>
      </c>
    </row>
    <row r="33" spans="1:9" x14ac:dyDescent="0.2">
      <c r="A33" s="5">
        <v>202914</v>
      </c>
      <c r="B33" s="5">
        <v>144</v>
      </c>
      <c r="C33" s="5">
        <v>143</v>
      </c>
      <c r="D33" s="5" t="str">
        <f t="shared" si="10"/>
        <v>144-143</v>
      </c>
      <c r="E33" s="5">
        <v>37.979214994260282</v>
      </c>
      <c r="F33" s="6" t="str">
        <f t="shared" si="0"/>
        <v>NOTFOUND</v>
      </c>
      <c r="G33" s="5">
        <v>0.3</v>
      </c>
      <c r="H33" s="7" t="str">
        <f t="shared" si="1"/>
        <v>NOTFOUND</v>
      </c>
      <c r="I33" s="7" t="str">
        <f t="shared" si="2"/>
        <v>NOTFOUND</v>
      </c>
    </row>
    <row r="34" spans="1:9" x14ac:dyDescent="0.2">
      <c r="A34" s="5">
        <v>202920</v>
      </c>
      <c r="B34" s="5">
        <v>143</v>
      </c>
      <c r="C34" s="5">
        <v>142</v>
      </c>
      <c r="D34" s="5" t="str">
        <f t="shared" si="10"/>
        <v>143-142</v>
      </c>
      <c r="E34" s="5">
        <v>48.519455180329324</v>
      </c>
      <c r="F34" s="6" t="str">
        <f t="shared" si="0"/>
        <v>NOTFOUND</v>
      </c>
      <c r="G34" s="5">
        <v>0.45</v>
      </c>
      <c r="H34" s="7" t="str">
        <f t="shared" si="1"/>
        <v>NOTFOUND</v>
      </c>
      <c r="I34" s="7" t="str">
        <f t="shared" si="2"/>
        <v>NOTFOUND</v>
      </c>
    </row>
    <row r="35" spans="1:9" x14ac:dyDescent="0.2">
      <c r="A35" s="5">
        <v>202928</v>
      </c>
      <c r="B35" s="5">
        <v>142</v>
      </c>
      <c r="C35" s="5">
        <v>140</v>
      </c>
      <c r="D35" s="5" t="str">
        <f t="shared" si="10"/>
        <v>142-140</v>
      </c>
      <c r="E35" s="5">
        <v>61.468728315193054</v>
      </c>
      <c r="F35" s="6" t="str">
        <f t="shared" si="0"/>
        <v>NOTFOUND</v>
      </c>
      <c r="G35" s="5">
        <v>0.82500000000000007</v>
      </c>
      <c r="H35" s="7" t="str">
        <f t="shared" si="1"/>
        <v>NOTFOUND</v>
      </c>
      <c r="I35" s="7" t="str">
        <f t="shared" si="2"/>
        <v>NOTFOUND</v>
      </c>
    </row>
    <row r="36" spans="1:9" x14ac:dyDescent="0.2">
      <c r="A36" s="5">
        <v>202945</v>
      </c>
      <c r="B36" s="5">
        <v>140</v>
      </c>
      <c r="C36" s="5">
        <v>131</v>
      </c>
      <c r="D36" s="5" t="str">
        <f t="shared" si="10"/>
        <v>140-131</v>
      </c>
      <c r="E36" s="5">
        <v>35.640649998355677</v>
      </c>
      <c r="F36" s="6" t="str">
        <f t="shared" si="0"/>
        <v>NOTFOUND</v>
      </c>
      <c r="G36" s="5">
        <v>0.9</v>
      </c>
      <c r="H36" s="7" t="str">
        <f t="shared" si="1"/>
        <v>NOTFOUND</v>
      </c>
      <c r="I36" s="7" t="str">
        <f t="shared" si="2"/>
        <v>NOTFOUND</v>
      </c>
    </row>
    <row r="37" spans="1:9" x14ac:dyDescent="0.2">
      <c r="A37" s="5">
        <v>202962</v>
      </c>
      <c r="B37" s="5">
        <v>145</v>
      </c>
      <c r="C37" s="5">
        <v>146</v>
      </c>
      <c r="D37" s="5" t="str">
        <f t="shared" si="10"/>
        <v>145-146</v>
      </c>
      <c r="E37" s="5">
        <v>64.573605935637147</v>
      </c>
      <c r="F37" s="6" t="str">
        <f t="shared" si="0"/>
        <v>NOTFOUND</v>
      </c>
      <c r="G37" s="5">
        <v>0.375</v>
      </c>
      <c r="H37" s="7" t="str">
        <f t="shared" si="1"/>
        <v>NOTFOUND</v>
      </c>
      <c r="I37" s="7" t="str">
        <f t="shared" si="2"/>
        <v>NOTFOUND</v>
      </c>
    </row>
    <row r="38" spans="1:9" x14ac:dyDescent="0.2">
      <c r="A38" s="5">
        <v>202981</v>
      </c>
      <c r="B38" s="5">
        <v>147</v>
      </c>
      <c r="C38" s="5">
        <v>146</v>
      </c>
      <c r="D38" s="5" t="str">
        <f t="shared" si="10"/>
        <v>147-146</v>
      </c>
      <c r="E38" s="5">
        <v>19.614265286938284</v>
      </c>
      <c r="F38" s="6" t="str">
        <f t="shared" si="0"/>
        <v>NOTFOUND</v>
      </c>
      <c r="G38" s="5">
        <v>0.375</v>
      </c>
      <c r="H38" s="7" t="str">
        <f t="shared" si="1"/>
        <v>NOTFOUND</v>
      </c>
      <c r="I38" s="7" t="str">
        <f t="shared" si="2"/>
        <v>NOTFOUND</v>
      </c>
    </row>
    <row r="39" spans="1:9" x14ac:dyDescent="0.2">
      <c r="A39" s="5">
        <v>202989</v>
      </c>
      <c r="B39" s="5">
        <v>146</v>
      </c>
      <c r="C39" s="5">
        <v>139</v>
      </c>
      <c r="D39" s="5" t="str">
        <f t="shared" si="10"/>
        <v>146-139</v>
      </c>
      <c r="E39" s="5">
        <v>12.608332383093169</v>
      </c>
      <c r="F39" s="6" t="str">
        <f t="shared" si="0"/>
        <v>NOTFOUND</v>
      </c>
      <c r="G39" s="5">
        <v>0.52500000000000002</v>
      </c>
      <c r="H39" s="7" t="str">
        <f t="shared" si="1"/>
        <v>NOTFOUND</v>
      </c>
      <c r="I39" s="7" t="str">
        <f t="shared" si="2"/>
        <v>NOTFOUND</v>
      </c>
    </row>
    <row r="40" spans="1:9" x14ac:dyDescent="0.2">
      <c r="A40" s="5">
        <v>202997</v>
      </c>
      <c r="B40" s="5">
        <v>139</v>
      </c>
      <c r="C40" s="5">
        <v>138</v>
      </c>
      <c r="D40" s="5" t="str">
        <f t="shared" si="10"/>
        <v>139-138</v>
      </c>
      <c r="E40" s="5">
        <v>71.464880480045082</v>
      </c>
      <c r="F40" s="6" t="str">
        <f t="shared" si="0"/>
        <v>NOTFOUND</v>
      </c>
      <c r="G40" s="5">
        <v>0.75</v>
      </c>
      <c r="H40" s="7" t="str">
        <f t="shared" si="1"/>
        <v>NOTFOUND</v>
      </c>
      <c r="I40" s="7" t="str">
        <f t="shared" si="2"/>
        <v>NOTFOUND</v>
      </c>
    </row>
    <row r="41" spans="1:9" x14ac:dyDescent="0.2">
      <c r="A41" s="5">
        <v>203005</v>
      </c>
      <c r="B41" s="5">
        <v>137</v>
      </c>
      <c r="C41" s="5">
        <v>136</v>
      </c>
      <c r="D41" s="5" t="str">
        <f t="shared" si="10"/>
        <v>137-136</v>
      </c>
      <c r="E41" s="5">
        <v>36.374809370592097</v>
      </c>
      <c r="F41" s="6" t="str">
        <f t="shared" si="0"/>
        <v>NOTFOUND</v>
      </c>
      <c r="G41" s="5">
        <v>0.75</v>
      </c>
      <c r="H41" s="7" t="str">
        <f t="shared" si="1"/>
        <v>NOTFOUND</v>
      </c>
      <c r="I41" s="7" t="str">
        <f t="shared" si="2"/>
        <v>NOTFOUND</v>
      </c>
    </row>
    <row r="42" spans="1:9" x14ac:dyDescent="0.2">
      <c r="A42" s="5">
        <v>203013</v>
      </c>
      <c r="B42" s="5">
        <v>136</v>
      </c>
      <c r="C42" s="5">
        <v>130</v>
      </c>
      <c r="D42" s="5" t="str">
        <f t="shared" si="10"/>
        <v>136-130</v>
      </c>
      <c r="E42" s="5">
        <v>32.930358152646747</v>
      </c>
      <c r="F42" s="6" t="str">
        <f t="shared" si="0"/>
        <v>NOTFOUND</v>
      </c>
      <c r="G42" s="5">
        <v>0.75</v>
      </c>
      <c r="H42" s="7" t="str">
        <f t="shared" si="1"/>
        <v>NOTFOUND</v>
      </c>
      <c r="I42" s="7" t="str">
        <f t="shared" si="2"/>
        <v>NOTFOUND</v>
      </c>
    </row>
    <row r="43" spans="1:9" x14ac:dyDescent="0.2">
      <c r="A43" s="5">
        <v>203034</v>
      </c>
      <c r="B43" s="5">
        <v>134</v>
      </c>
      <c r="C43" s="5">
        <v>133</v>
      </c>
      <c r="D43" s="5" t="str">
        <f t="shared" si="10"/>
        <v>134-133</v>
      </c>
      <c r="E43" s="5">
        <v>15.078707090284345</v>
      </c>
      <c r="F43" s="6" t="str">
        <f t="shared" si="0"/>
        <v>NOTFOUND</v>
      </c>
      <c r="G43" s="5">
        <v>0.3</v>
      </c>
      <c r="H43" s="7" t="str">
        <f t="shared" si="1"/>
        <v>NOTFOUND</v>
      </c>
      <c r="I43" s="7" t="str">
        <f t="shared" si="2"/>
        <v>NOTFOUND</v>
      </c>
    </row>
    <row r="44" spans="1:9" x14ac:dyDescent="0.2">
      <c r="A44" s="5">
        <v>203042</v>
      </c>
      <c r="B44" s="5">
        <v>133</v>
      </c>
      <c r="C44" s="5">
        <v>132</v>
      </c>
      <c r="D44" s="5" t="str">
        <f t="shared" si="10"/>
        <v>133-132</v>
      </c>
      <c r="E44" s="5">
        <v>102.7840822795179</v>
      </c>
      <c r="F44" s="6" t="str">
        <f t="shared" si="0"/>
        <v>NOTFOUND</v>
      </c>
      <c r="G44" s="5">
        <v>0.45</v>
      </c>
      <c r="H44" s="7" t="str">
        <f t="shared" si="1"/>
        <v>NOTFOUND</v>
      </c>
      <c r="I44" s="7" t="str">
        <f t="shared" si="2"/>
        <v>NOTFOUND</v>
      </c>
    </row>
    <row r="45" spans="1:9" x14ac:dyDescent="0.2">
      <c r="A45" s="5">
        <v>203057</v>
      </c>
      <c r="B45" s="5">
        <v>132</v>
      </c>
      <c r="C45" s="5">
        <v>131</v>
      </c>
      <c r="D45" s="5" t="str">
        <f t="shared" si="10"/>
        <v>132-131</v>
      </c>
      <c r="E45" s="5">
        <v>61.433273887928728</v>
      </c>
      <c r="F45" s="6" t="str">
        <f t="shared" si="0"/>
        <v>NOTFOUND</v>
      </c>
      <c r="G45" s="5">
        <v>0.52500000000000002</v>
      </c>
      <c r="H45" s="7" t="str">
        <f t="shared" si="1"/>
        <v>NOTFOUND</v>
      </c>
      <c r="I45" s="7" t="str">
        <f t="shared" si="2"/>
        <v>NOTFOUND</v>
      </c>
    </row>
    <row r="46" spans="1:9" x14ac:dyDescent="0.2">
      <c r="A46" s="5">
        <v>203081</v>
      </c>
      <c r="B46" s="5">
        <v>131</v>
      </c>
      <c r="C46" s="5">
        <v>130</v>
      </c>
      <c r="D46" s="5" t="str">
        <f t="shared" si="10"/>
        <v>131-130</v>
      </c>
      <c r="E46" s="5">
        <v>77.709101308226806</v>
      </c>
      <c r="F46" s="6" t="str">
        <f t="shared" si="0"/>
        <v>NOTFOUND</v>
      </c>
      <c r="G46" s="5">
        <v>1.05</v>
      </c>
      <c r="H46" s="7" t="str">
        <f t="shared" si="1"/>
        <v>NOTFOUND</v>
      </c>
      <c r="I46" s="7" t="str">
        <f t="shared" si="2"/>
        <v>NOTFOUND</v>
      </c>
    </row>
    <row r="47" spans="1:9" x14ac:dyDescent="0.2">
      <c r="A47" s="5">
        <v>203116</v>
      </c>
      <c r="B47" s="5">
        <v>130</v>
      </c>
      <c r="C47" s="5" t="s">
        <v>55</v>
      </c>
      <c r="D47" s="5" t="str">
        <f t="shared" si="10"/>
        <v>130-130A</v>
      </c>
      <c r="E47" s="5">
        <v>39.743738172000576</v>
      </c>
      <c r="F47" s="6" t="str">
        <f t="shared" si="0"/>
        <v>NOTFOUND</v>
      </c>
      <c r="G47" s="5">
        <v>1.2</v>
      </c>
      <c r="H47" s="7" t="str">
        <f t="shared" si="1"/>
        <v>NOTFOUND</v>
      </c>
      <c r="I47" s="7" t="str">
        <f t="shared" si="2"/>
        <v>NOTFOUND</v>
      </c>
    </row>
    <row r="48" spans="1:9" x14ac:dyDescent="0.2">
      <c r="A48" s="5">
        <v>203187</v>
      </c>
      <c r="B48" s="5">
        <v>114</v>
      </c>
      <c r="C48" s="5">
        <v>113</v>
      </c>
      <c r="D48" s="5" t="str">
        <f t="shared" si="10"/>
        <v>114-113</v>
      </c>
      <c r="E48" s="5">
        <v>58.781780331318124</v>
      </c>
      <c r="F48" s="6" t="str">
        <f t="shared" si="0"/>
        <v>NOTFOUND</v>
      </c>
      <c r="G48" s="5">
        <v>0.75</v>
      </c>
      <c r="H48" s="7" t="str">
        <f t="shared" si="1"/>
        <v>NOTFOUND</v>
      </c>
      <c r="I48" s="7" t="str">
        <f t="shared" si="2"/>
        <v>NOTFOUND</v>
      </c>
    </row>
    <row r="49" spans="1:9" x14ac:dyDescent="0.2">
      <c r="A49" s="5">
        <v>203202</v>
      </c>
      <c r="B49" s="5">
        <v>113</v>
      </c>
      <c r="C49" s="5">
        <v>102</v>
      </c>
      <c r="D49" s="5" t="str">
        <f t="shared" si="10"/>
        <v>113-102</v>
      </c>
      <c r="E49" s="5">
        <v>44.550016922733704</v>
      </c>
      <c r="F49" s="6" t="str">
        <f t="shared" si="0"/>
        <v>NOTFOUND</v>
      </c>
      <c r="G49" s="5">
        <v>0.9</v>
      </c>
      <c r="H49" s="7" t="str">
        <f t="shared" si="1"/>
        <v>NOTFOUND</v>
      </c>
      <c r="I49" s="7" t="str">
        <f t="shared" si="2"/>
        <v>NOTFOUND</v>
      </c>
    </row>
    <row r="50" spans="1:9" x14ac:dyDescent="0.2">
      <c r="A50" s="5">
        <v>203230</v>
      </c>
      <c r="B50" s="5">
        <v>102</v>
      </c>
      <c r="C50" s="5">
        <v>101</v>
      </c>
      <c r="D50" s="5" t="str">
        <f t="shared" si="10"/>
        <v>102-101</v>
      </c>
      <c r="E50" s="5">
        <v>59.639837589624207</v>
      </c>
      <c r="F50" s="6" t="str">
        <f t="shared" si="0"/>
        <v>NOTFOUND</v>
      </c>
      <c r="G50" s="5">
        <v>1.5</v>
      </c>
      <c r="H50" s="7" t="str">
        <f t="shared" si="1"/>
        <v>NOTFOUND</v>
      </c>
      <c r="I50" s="7" t="str">
        <f t="shared" si="2"/>
        <v>NOTFOUND</v>
      </c>
    </row>
    <row r="51" spans="1:9" x14ac:dyDescent="0.2">
      <c r="A51" s="5">
        <v>203257</v>
      </c>
      <c r="B51" s="5">
        <v>101</v>
      </c>
      <c r="C51" s="5">
        <v>100</v>
      </c>
      <c r="D51" s="5" t="str">
        <f t="shared" si="10"/>
        <v>101-100</v>
      </c>
      <c r="E51" s="5">
        <v>42.594933745828165</v>
      </c>
      <c r="F51" s="6" t="str">
        <f t="shared" si="0"/>
        <v>NOTFOUND</v>
      </c>
      <c r="G51" s="5">
        <v>1.5</v>
      </c>
      <c r="H51" s="7" t="str">
        <f t="shared" si="1"/>
        <v>NOTFOUND</v>
      </c>
      <c r="I51" s="7" t="str">
        <f t="shared" si="2"/>
        <v>NOTFOUND</v>
      </c>
    </row>
    <row r="52" spans="1:9" x14ac:dyDescent="0.2">
      <c r="A52" s="5">
        <v>203281</v>
      </c>
      <c r="B52" s="5">
        <v>100</v>
      </c>
      <c r="C52" s="5" t="s">
        <v>51</v>
      </c>
      <c r="D52" s="5" t="str">
        <f t="shared" si="10"/>
        <v>100-null</v>
      </c>
      <c r="E52" s="5">
        <v>17.528032408503325</v>
      </c>
      <c r="F52" s="6" t="str">
        <f t="shared" si="0"/>
        <v>NOTFOUND</v>
      </c>
      <c r="G52" s="5">
        <v>1.8</v>
      </c>
      <c r="H52" s="7" t="str">
        <f t="shared" si="1"/>
        <v>NOTFOUND</v>
      </c>
      <c r="I52" s="7" t="str">
        <f t="shared" si="2"/>
        <v>NOTFOUND</v>
      </c>
    </row>
    <row r="53" spans="1:9" x14ac:dyDescent="0.2">
      <c r="A53" s="5">
        <v>204989</v>
      </c>
      <c r="B53" s="5" t="s">
        <v>51</v>
      </c>
      <c r="C53" s="5" t="s">
        <v>56</v>
      </c>
      <c r="D53" s="5" t="str">
        <f t="shared" si="10"/>
        <v>null-EX. 508</v>
      </c>
      <c r="E53" s="5">
        <v>12.934345589020596</v>
      </c>
      <c r="F53" s="6" t="str">
        <f t="shared" si="0"/>
        <v>NOTFOUND</v>
      </c>
      <c r="G53" s="5">
        <v>0.375</v>
      </c>
      <c r="H53" s="7" t="str">
        <f t="shared" si="1"/>
        <v>NOTFOUND</v>
      </c>
      <c r="I53" s="7" t="str">
        <f t="shared" si="2"/>
        <v>NOTFOUND</v>
      </c>
    </row>
    <row r="54" spans="1:9" x14ac:dyDescent="0.2">
      <c r="A54" s="5">
        <v>205685</v>
      </c>
      <c r="B54" s="5">
        <v>115</v>
      </c>
      <c r="C54" s="5">
        <v>114</v>
      </c>
      <c r="D54" s="5" t="str">
        <f t="shared" si="10"/>
        <v>115-114</v>
      </c>
      <c r="E54" s="5">
        <v>99.01935926421811</v>
      </c>
      <c r="F54" s="6" t="str">
        <f t="shared" si="0"/>
        <v>NOTFOUND</v>
      </c>
      <c r="G54" s="5">
        <v>0.6</v>
      </c>
      <c r="H54" s="7" t="str">
        <f t="shared" si="1"/>
        <v>NOTFOUND</v>
      </c>
      <c r="I54" s="7" t="str">
        <f t="shared" si="2"/>
        <v>NOTFOUND</v>
      </c>
    </row>
    <row r="55" spans="1:9" x14ac:dyDescent="0.2">
      <c r="A55" s="5">
        <v>231913</v>
      </c>
      <c r="B55" s="5" t="s">
        <v>57</v>
      </c>
      <c r="C55" s="5">
        <v>99</v>
      </c>
      <c r="D55" s="5" t="str">
        <f t="shared" si="10"/>
        <v>99A-99</v>
      </c>
      <c r="E55" s="5">
        <v>31.89917304288609</v>
      </c>
      <c r="F55" s="6" t="str">
        <f t="shared" si="0"/>
        <v>NOTFOUND</v>
      </c>
      <c r="G55" s="5">
        <v>0.82500000000000007</v>
      </c>
      <c r="H55" s="7" t="str">
        <f t="shared" si="1"/>
        <v>NOTFOUND</v>
      </c>
      <c r="I55" s="7" t="str">
        <f t="shared" si="2"/>
        <v>NOTFOUND</v>
      </c>
    </row>
    <row r="56" spans="1:9" x14ac:dyDescent="0.2">
      <c r="A56" s="5">
        <v>257724</v>
      </c>
      <c r="B56" s="5">
        <v>119</v>
      </c>
      <c r="C56" s="5">
        <v>120</v>
      </c>
      <c r="D56" s="5" t="str">
        <f t="shared" si="10"/>
        <v>119-120</v>
      </c>
      <c r="E56" s="5">
        <v>42.059318550457611</v>
      </c>
      <c r="F56" s="6">
        <f t="shared" si="0"/>
        <v>3.5000000000000001E-3</v>
      </c>
      <c r="G56" s="5">
        <v>0.75</v>
      </c>
      <c r="H56" s="7">
        <f t="shared" si="1"/>
        <v>92.708191660360058</v>
      </c>
      <c r="I56" s="7">
        <f t="shared" si="2"/>
        <v>92.560984045433457</v>
      </c>
    </row>
    <row r="57" spans="1:9" x14ac:dyDescent="0.2">
      <c r="A57" s="5">
        <v>259718</v>
      </c>
      <c r="B57" s="5">
        <v>138</v>
      </c>
      <c r="C57" s="5">
        <v>137</v>
      </c>
      <c r="D57" s="5" t="str">
        <f t="shared" si="10"/>
        <v>138-137</v>
      </c>
      <c r="E57" s="5">
        <v>45.575489843311956</v>
      </c>
      <c r="F57" s="6" t="str">
        <f t="shared" si="0"/>
        <v>NOTFOUND</v>
      </c>
      <c r="G57" s="5">
        <v>0.75</v>
      </c>
      <c r="H57" s="7" t="str">
        <f t="shared" si="1"/>
        <v>NOTFOUND</v>
      </c>
      <c r="I57" s="7" t="str">
        <f t="shared" si="2"/>
        <v>NOTFOUND</v>
      </c>
    </row>
    <row r="58" spans="1:9" x14ac:dyDescent="0.2">
      <c r="A58" s="5">
        <v>260368</v>
      </c>
      <c r="B58" s="5">
        <v>103</v>
      </c>
      <c r="C58" s="5">
        <v>101</v>
      </c>
      <c r="D58" s="5" t="str">
        <f t="shared" si="10"/>
        <v>103-101</v>
      </c>
      <c r="E58" s="5">
        <v>112.02709105848908</v>
      </c>
      <c r="F58" s="6" t="str">
        <f t="shared" si="0"/>
        <v>NOTFOUND</v>
      </c>
      <c r="G58" s="5">
        <v>0.9</v>
      </c>
      <c r="H58" s="7" t="str">
        <f t="shared" si="1"/>
        <v>NOTFOUND</v>
      </c>
      <c r="I58" s="7" t="str">
        <f t="shared" si="2"/>
        <v>NOTFOUND</v>
      </c>
    </row>
    <row r="59" spans="1:9" x14ac:dyDescent="0.2">
      <c r="A59" s="5">
        <v>260397</v>
      </c>
      <c r="B59" s="5">
        <v>104</v>
      </c>
      <c r="C59" s="5">
        <v>101</v>
      </c>
      <c r="D59" s="5" t="str">
        <f t="shared" si="10"/>
        <v>104-101</v>
      </c>
      <c r="E59" s="5">
        <v>118.3931298893477</v>
      </c>
      <c r="F59" s="6" t="str">
        <f t="shared" si="0"/>
        <v>NOTFOUND</v>
      </c>
      <c r="G59" s="5">
        <v>0.75</v>
      </c>
      <c r="H59" s="7" t="str">
        <f t="shared" si="1"/>
        <v>NOTFOUND</v>
      </c>
      <c r="I59" s="7" t="str">
        <f t="shared" si="2"/>
        <v>NOTFOUND</v>
      </c>
    </row>
    <row r="60" spans="1:9" x14ac:dyDescent="0.2">
      <c r="A60" s="5">
        <v>260730</v>
      </c>
      <c r="B60" s="5" t="s">
        <v>56</v>
      </c>
      <c r="C60" s="5" t="s">
        <v>52</v>
      </c>
      <c r="D60" s="5" t="str">
        <f t="shared" si="10"/>
        <v>EX. 508-EX.509</v>
      </c>
      <c r="E60" s="5">
        <v>26.924222133026301</v>
      </c>
      <c r="F60" s="6" t="str">
        <f t="shared" si="0"/>
        <v>NOTFOUND</v>
      </c>
      <c r="G60" s="5">
        <v>1.35</v>
      </c>
      <c r="H60" s="7" t="str">
        <f t="shared" si="1"/>
        <v>NOTFOUND</v>
      </c>
      <c r="I60" s="7" t="str">
        <f t="shared" si="2"/>
        <v>NOTFOUND</v>
      </c>
    </row>
    <row r="61" spans="1:9" x14ac:dyDescent="0.2">
      <c r="A61" s="5">
        <v>346424</v>
      </c>
      <c r="B61" s="5" t="s">
        <v>58</v>
      </c>
      <c r="C61" s="5" t="s">
        <v>59</v>
      </c>
      <c r="D61" s="5" t="str">
        <f t="shared" si="10"/>
        <v>EX. 200-EX. 104</v>
      </c>
      <c r="E61" s="5">
        <v>77.120603341636439</v>
      </c>
      <c r="F61" s="6" t="str">
        <f t="shared" si="0"/>
        <v>NOTFOUND</v>
      </c>
      <c r="G61" s="5">
        <v>1.8</v>
      </c>
      <c r="H61" s="7" t="str">
        <f t="shared" si="1"/>
        <v>NOTFOUND</v>
      </c>
      <c r="I61" s="7" t="str">
        <f t="shared" si="2"/>
        <v>NOTFOUND</v>
      </c>
    </row>
    <row r="62" spans="1:9" x14ac:dyDescent="0.2">
      <c r="A62" s="5">
        <v>346441</v>
      </c>
      <c r="B62" s="5" t="s">
        <v>60</v>
      </c>
      <c r="C62" s="5" t="s">
        <v>58</v>
      </c>
      <c r="D62" s="5" t="str">
        <f t="shared" si="10"/>
        <v>EX 201-EX. 200</v>
      </c>
      <c r="E62" s="5">
        <v>69.398924654012333</v>
      </c>
      <c r="F62" s="6" t="str">
        <f t="shared" si="0"/>
        <v>NOTFOUND</v>
      </c>
      <c r="G62" s="5">
        <v>1.8</v>
      </c>
      <c r="H62" s="7" t="str">
        <f t="shared" si="1"/>
        <v>NOTFOUND</v>
      </c>
      <c r="I62" s="7" t="str">
        <f t="shared" si="2"/>
        <v>NOTFOUND</v>
      </c>
    </row>
    <row r="63" spans="1:9" x14ac:dyDescent="0.2">
      <c r="A63" s="5">
        <v>346469</v>
      </c>
      <c r="B63" s="5" t="s">
        <v>51</v>
      </c>
      <c r="C63" s="5" t="s">
        <v>58</v>
      </c>
      <c r="D63" s="5" t="str">
        <f t="shared" si="10"/>
        <v>null-EX. 200</v>
      </c>
      <c r="E63" s="5">
        <v>19.044983072986259</v>
      </c>
      <c r="F63" s="6" t="str">
        <f t="shared" si="0"/>
        <v>NOTFOUND</v>
      </c>
      <c r="G63" s="5">
        <v>0.3</v>
      </c>
      <c r="H63" s="7" t="str">
        <f t="shared" si="1"/>
        <v>NOTFOUND</v>
      </c>
      <c r="I63" s="7" t="str">
        <f t="shared" si="2"/>
        <v>NOTFOUND</v>
      </c>
    </row>
    <row r="64" spans="1:9" x14ac:dyDescent="0.2">
      <c r="A64" s="5">
        <v>347447</v>
      </c>
      <c r="B64" s="5" t="s">
        <v>51</v>
      </c>
      <c r="C64" s="5" t="s">
        <v>61</v>
      </c>
      <c r="D64" s="5" t="str">
        <f t="shared" si="10"/>
        <v>null-OUTLET</v>
      </c>
      <c r="E64" s="5">
        <v>4.7763942227464833</v>
      </c>
      <c r="F64" s="6" t="str">
        <f t="shared" si="0"/>
        <v>NOTFOUND</v>
      </c>
      <c r="G64" s="5">
        <v>0.3</v>
      </c>
      <c r="H64" s="7" t="str">
        <f t="shared" si="1"/>
        <v>NOTFOUND</v>
      </c>
      <c r="I64" s="7" t="str">
        <f t="shared" si="2"/>
        <v>NOTFOUND</v>
      </c>
    </row>
    <row r="65" spans="1:9" x14ac:dyDescent="0.2">
      <c r="A65" s="5">
        <v>347464</v>
      </c>
      <c r="B65" s="5" t="s">
        <v>61</v>
      </c>
      <c r="C65" s="5" t="s">
        <v>51</v>
      </c>
      <c r="D65" s="5" t="str">
        <f t="shared" si="10"/>
        <v>OUTLET-null</v>
      </c>
      <c r="E65" s="5">
        <v>2.6649469024918822</v>
      </c>
      <c r="F65" s="6" t="str">
        <f t="shared" si="0"/>
        <v>NOTFOUND</v>
      </c>
      <c r="G65" s="5">
        <v>0.6</v>
      </c>
      <c r="H65" s="7" t="str">
        <f t="shared" si="1"/>
        <v>NOTFOUND</v>
      </c>
      <c r="I65" s="7" t="str">
        <f t="shared" si="2"/>
        <v>NOTFOUND</v>
      </c>
    </row>
    <row r="66" spans="1:9" x14ac:dyDescent="0.2">
      <c r="A66" s="5">
        <v>727409</v>
      </c>
      <c r="B66" s="5" t="s">
        <v>55</v>
      </c>
      <c r="C66" s="5">
        <v>102</v>
      </c>
      <c r="D66" s="5" t="str">
        <f t="shared" si="10"/>
        <v>130A-102</v>
      </c>
      <c r="E66" s="5">
        <v>46.331948792870428</v>
      </c>
      <c r="F66" s="6" t="str">
        <f t="shared" ref="F66:F129" si="11">_xlfn.IFNA(INDEX(Design,MATCH(D66,Design_FromToId,0),COLUMN(Design_Slope)),"NOTFOUND")</f>
        <v>NOTFOUND</v>
      </c>
      <c r="G66" s="5">
        <v>1.2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1:9" x14ac:dyDescent="0.2">
      <c r="A67" s="5">
        <v>730550</v>
      </c>
      <c r="B67" s="5" t="s">
        <v>51</v>
      </c>
      <c r="C67" s="5" t="s">
        <v>62</v>
      </c>
      <c r="D67" s="5" t="str">
        <f t="shared" si="10"/>
        <v>null-P1</v>
      </c>
      <c r="E67" s="5">
        <v>10.591711425471088</v>
      </c>
      <c r="F67" s="6" t="str">
        <f t="shared" si="11"/>
        <v>NOTFOUND</v>
      </c>
      <c r="G67" s="5">
        <v>0.3</v>
      </c>
      <c r="H67" s="7" t="str">
        <f t="shared" si="12"/>
        <v>NOTFOUND</v>
      </c>
      <c r="I67" s="7" t="str">
        <f t="shared" si="13"/>
        <v>NOTFOUND</v>
      </c>
    </row>
    <row r="68" spans="1:9" x14ac:dyDescent="0.2">
      <c r="A68" s="5">
        <v>730563</v>
      </c>
      <c r="B68" s="5" t="s">
        <v>51</v>
      </c>
      <c r="C68" s="5" t="s">
        <v>62</v>
      </c>
      <c r="D68" s="5" t="str">
        <f t="shared" si="10"/>
        <v>null-P1</v>
      </c>
      <c r="E68" s="5">
        <v>8.4552524633450368</v>
      </c>
      <c r="F68" s="6" t="str">
        <f t="shared" si="11"/>
        <v>NOTFOUND</v>
      </c>
      <c r="G68" s="5">
        <v>0.3</v>
      </c>
      <c r="H68" s="7" t="str">
        <f t="shared" si="12"/>
        <v>NOTFOUND</v>
      </c>
      <c r="I68" s="7" t="str">
        <f t="shared" si="13"/>
        <v>NOTFOUND</v>
      </c>
    </row>
    <row r="69" spans="1:9" x14ac:dyDescent="0.2">
      <c r="A69" s="5">
        <v>846703</v>
      </c>
      <c r="B69" s="5" t="s">
        <v>53</v>
      </c>
      <c r="C69" s="5">
        <v>122</v>
      </c>
      <c r="D69" s="5" t="str">
        <f t="shared" si="10"/>
        <v>122B-122</v>
      </c>
      <c r="E69" s="5">
        <v>4.9999999996501199</v>
      </c>
      <c r="F69" s="6">
        <f t="shared" si="11"/>
        <v>6.4999999999999997E-3</v>
      </c>
      <c r="G69" s="5">
        <v>3</v>
      </c>
      <c r="H69" s="7">
        <f t="shared" si="12"/>
        <v>93.026833638303444</v>
      </c>
      <c r="I69" s="7">
        <f t="shared" si="13"/>
        <v>92.994333638305719</v>
      </c>
    </row>
    <row r="70" spans="1:9" x14ac:dyDescent="0.2">
      <c r="A70" s="5">
        <v>991163</v>
      </c>
      <c r="B70" s="5">
        <v>99</v>
      </c>
      <c r="C70" s="5">
        <v>100</v>
      </c>
      <c r="D70" s="5" t="str">
        <f t="shared" si="10"/>
        <v>99-100</v>
      </c>
      <c r="E70" s="5">
        <v>32.838166917159214</v>
      </c>
      <c r="F70" s="6" t="str">
        <f t="shared" si="11"/>
        <v>NOTFOUND</v>
      </c>
      <c r="G70" s="5">
        <v>0.97499999999999998</v>
      </c>
      <c r="H70" s="7" t="str">
        <f t="shared" si="12"/>
        <v>NOTFOUND</v>
      </c>
      <c r="I70" s="7" t="str">
        <f t="shared" si="13"/>
        <v>NOTFOUND</v>
      </c>
    </row>
    <row r="71" spans="1:9" x14ac:dyDescent="0.2">
      <c r="A71" s="5">
        <v>992081</v>
      </c>
      <c r="B71" s="5" t="s">
        <v>51</v>
      </c>
      <c r="C71" s="5">
        <v>99</v>
      </c>
      <c r="D71" s="5" t="str">
        <f t="shared" si="10"/>
        <v>null-99</v>
      </c>
      <c r="E71" s="5">
        <v>4.6000000009775466</v>
      </c>
      <c r="F71" s="6" t="str">
        <f t="shared" si="11"/>
        <v>NOTFOUND</v>
      </c>
      <c r="G71" s="5">
        <v>0.82500000000000007</v>
      </c>
      <c r="H71" s="7" t="str">
        <f t="shared" si="12"/>
        <v>NOTFOUND</v>
      </c>
      <c r="I71" s="7" t="str">
        <f t="shared" si="13"/>
        <v>NOTFOUND</v>
      </c>
    </row>
    <row r="72" spans="1:9" x14ac:dyDescent="0.2">
      <c r="A72" s="5">
        <v>1028116</v>
      </c>
      <c r="B72" s="5" t="s">
        <v>54</v>
      </c>
      <c r="C72" s="5" t="s">
        <v>51</v>
      </c>
      <c r="D72" s="5" t="str">
        <f t="shared" si="10"/>
        <v>Structure - (205)-null</v>
      </c>
      <c r="E72" s="5">
        <v>14.136869782344833</v>
      </c>
      <c r="F72" s="6" t="str">
        <f t="shared" si="11"/>
        <v>NOTFOUND</v>
      </c>
      <c r="G72" s="5">
        <v>2.1</v>
      </c>
      <c r="H72" s="7" t="str">
        <f t="shared" si="12"/>
        <v>NOTFOUND</v>
      </c>
      <c r="I72" s="7" t="str">
        <f t="shared" si="13"/>
        <v>NOTFOUND</v>
      </c>
    </row>
    <row r="73" spans="1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1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1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1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1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1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1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1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2019-07-14T17:37:59Z</dcterms:modified>
</cp:coreProperties>
</file>